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Tổng quan" sheetId="2" state="visible" r:id="rId2"/>
    <sheet name="Câu hỏi" sheetId="3" state="visible" r:id="rId3"/>
    <sheet name="Định nghĩa" sheetId="4" state="visible" r:id="rId4"/>
    <sheet name="Công thức" sheetId="5" state="visible" r:id="rId5"/>
    <sheet name="Tài liệu cần cung cấp" sheetId="6" state="visible" r:id="rId6"/>
  </sheets>
  <definedNames>
    <definedName name="_xlnm._FilterDatabase" localSheetId="2" hidden="1">'Câu hỏi'!$A$1:$J$65</definedName>
    <definedName name="_xlnm._FilterDatabase" localSheetId="3" hidden="1">'Định nghĩa'!$A$1:$H$59</definedName>
    <definedName name="_xlnm._FilterDatabase" localSheetId="4" hidden="1">'Công thức'!$A$1:$I$57</definedName>
    <definedName name="_xlnm._FilterDatabase" localSheetId="5" hidden="1">'Tài liệu cần cung cấp'!$A$1:$E$12</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FFFFFF"/>
      <sz val="10"/>
    </font>
    <font>
      <name val="Arial"/>
      <color theme="1"/>
      <sz val="11"/>
    </font>
  </fonts>
  <fills count="7">
    <fill>
      <patternFill/>
    </fill>
    <fill>
      <patternFill patternType="gray125"/>
    </fill>
    <fill>
      <patternFill patternType="solid">
        <fgColor rgb="00FFF2CC"/>
      </patternFill>
    </fill>
    <fill>
      <patternFill patternType="solid">
        <fgColor rgb="00C6EFCE"/>
      </patternFill>
    </fill>
    <fill>
      <patternFill patternType="solid">
        <fgColor rgb="00FFEB9C"/>
      </patternFill>
    </fill>
    <fill>
      <patternFill patternType="solid">
        <fgColor rgb="00F8CBAD"/>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6"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6" borderId="1" applyAlignment="1" pivotButton="0" quotePrefix="0" xfId="0">
      <alignment horizontal="center" vertical="top" wrapText="1"/>
    </xf>
    <xf numFmtId="0" fontId="4" fillId="0" borderId="1" applyAlignment="1" pivotButton="0" quotePrefix="0" xfId="0">
      <alignment horizontal="center" vertical="top" wrapText="1"/>
    </xf>
    <xf numFmtId="164" fontId="4" fillId="0" borderId="1" applyAlignment="1" pivotButton="0" quotePrefix="0" xfId="0">
      <alignment horizontal="center" vertical="top" wrapText="1"/>
    </xf>
    <xf numFmtId="0" fontId="3" fillId="0" borderId="1" pivotButton="0" quotePrefix="0" xfId="0"/>
    <xf numFmtId="0" fontId="3" fillId="0" borderId="1" applyAlignment="1" pivotButton="0" quotePrefix="0" xfId="0">
      <alignment horizontal="center" vertical="top" wrapText="1"/>
    </xf>
    <xf numFmtId="164" fontId="3" fillId="0" borderId="1" applyAlignment="1" pivotButton="0" quotePrefix="0" xfId="0">
      <alignment horizontal="center" vertical="top" wrapText="1"/>
    </xf>
    <xf numFmtId="0" fontId="3" fillId="0" borderId="0" pivotButton="0" quotePrefix="0" xfId="0"/>
    <xf numFmtId="0" fontId="4" fillId="3" borderId="1" pivotButton="0" quotePrefix="0" xfId="0"/>
    <xf numFmtId="0" fontId="4" fillId="0" borderId="0" pivotButton="0" quotePrefix="0" xfId="0"/>
    <xf numFmtId="0" fontId="4" fillId="4" borderId="1" pivotButton="0" quotePrefix="0" xfId="0"/>
    <xf numFmtId="0" fontId="4" fillId="5" borderId="1" pivotButton="0" quotePrefix="0" xfId="0"/>
    <xf numFmtId="0" fontId="4" fillId="2" borderId="1" pivotButton="0" quotePrefix="0" xfId="0"/>
    <xf numFmtId="0" fontId="4" fillId="0" borderId="1" applyAlignment="1" pivotButton="0" quotePrefix="0" xfId="0">
      <alignment vertical="top" wrapText="1"/>
    </xf>
    <xf numFmtId="0" fontId="4" fillId="4" borderId="1" applyAlignment="1" pivotButton="0" quotePrefix="0" xfId="0">
      <alignment horizontal="center" vertical="top" wrapText="1"/>
    </xf>
    <xf numFmtId="0" fontId="4" fillId="2" borderId="1" applyAlignment="1" pivotButton="0" quotePrefix="0" xfId="0">
      <alignment vertical="top" wrapText="1"/>
    </xf>
    <xf numFmtId="0" fontId="4" fillId="3" borderId="1" applyAlignment="1" pivotButton="0" quotePrefix="0" xfId="0">
      <alignment horizontal="center"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6" customWidth="1" min="1" max="1"/>
    <col width="120" customWidth="1" min="2" max="2"/>
  </cols>
  <sheetData>
    <row r="1">
      <c r="A1" s="1" t="inlineStr">
        <is>
          <t>TIMOHOUSE — BẢNG CÂU HỎI LÀM RÕ NGHIỆP VỤ ĐỂ XÂY DỰNG PHẦN MỀM</t>
        </is>
      </c>
      <c r="B1" s="2" t="n"/>
    </row>
    <row r="2">
      <c r="A2" s="3" t="inlineStr">
        <is>
          <t>Mục tiêu: thống nhất cách hiểu để phần mềm tự sinh được 2 báo cáo hàng tháng đúng như file Excel công ty đang dùng (Báo cáo tòa – mẫu G1 tháng 6/2026 và Báo cáo tổng T/S/G – mẫu tháng 8/2026).</t>
        </is>
      </c>
      <c r="B2" s="2" t="n"/>
    </row>
    <row r="3">
      <c r="A3" s="2" t="n"/>
      <c r="B3" s="2" t="n"/>
    </row>
    <row r="4">
      <c r="A4" s="4" t="inlineStr">
        <is>
          <t>CÁCH TRẢ LỜI</t>
        </is>
      </c>
      <c r="B4" s="5" t="inlineStr"/>
    </row>
    <row r="5">
      <c r="A5" s="5" t="inlineStr">
        <is>
          <t>1.</t>
        </is>
      </c>
      <c r="B5" s="5" t="inlineStr">
        <is>
          <t>Mở lần lượt 3 sheet: «Câu hỏi», «Định nghĩa», «Công thức». Mỗi dòng là 1 điểm cần công ty xác nhận.</t>
        </is>
      </c>
    </row>
    <row r="6">
      <c r="A6" s="5" t="inlineStr">
        <is>
          <t>2.</t>
        </is>
      </c>
      <c r="B6" s="5" t="inlineStr">
        <is>
          <t>Đọc cột «Cách hiểu hiện tại của bên phát triển». Nếu đúng → chọn «Đúng» ở cột Xác nhận (màu vàng). Nếu sai → chọn «Sai - xem cột trả lời» và ghi cách đúng vào cột «Trả lời / bổ sung của công ty».</t>
        </is>
      </c>
    </row>
    <row r="7">
      <c r="A7" s="5" t="inlineStr">
        <is>
          <t>3.</t>
        </is>
      </c>
      <c r="B7" s="5" t="inlineStr">
        <is>
          <t>Dòng có trạng thái «Đã trả lời» là câu công ty đã trả lời trước đó – chỉ cần xem lại phần diễn giải và xác nhận.</t>
        </is>
      </c>
    </row>
    <row r="8">
      <c r="A8" s="5" t="inlineStr">
        <is>
          <t>4.</t>
        </is>
      </c>
      <c r="B8" s="5" t="inlineStr">
        <is>
          <t>Dòng «Chưa có thông tin» là câu bên phát triển chưa biết – rất mong công ty trả lời càng cụ thể càng tốt (kèm ví dụ số nếu có).</t>
        </is>
      </c>
    </row>
    <row r="9">
      <c r="A9" s="5" t="inlineStr">
        <is>
          <t>5.</t>
        </is>
      </c>
      <c r="B9" s="5" t="inlineStr">
        <is>
          <t>Sheet «Tài liệu cần cung cấp»: đánh dấu tài liệu nào đã gửi / chưa gửi / không có.</t>
        </is>
      </c>
    </row>
    <row r="10">
      <c r="A10" s="5" t="inlineStr">
        <is>
          <t>6.</t>
        </is>
      </c>
      <c r="B10" s="5" t="inlineStr">
        <is>
          <t>Sheet «Tổng quan» tự đếm tiến độ trả lời, không cần chỉnh.</t>
        </is>
      </c>
    </row>
    <row r="11">
      <c r="A11" s="4" t="inlineStr"/>
      <c r="B11" s="5" t="inlineStr"/>
    </row>
    <row r="12">
      <c r="A12" s="4" t="inlineStr">
        <is>
          <t>MÀU SẮC</t>
        </is>
      </c>
      <c r="B12" s="5" t="inlineStr"/>
    </row>
    <row r="13">
      <c r="A13" s="6" t="inlineStr">
        <is>
          <t>Ô màu vàng</t>
        </is>
      </c>
      <c r="B13" s="5" t="inlineStr">
        <is>
          <t>Ô công ty cần điền / chọn.</t>
        </is>
      </c>
    </row>
    <row r="14">
      <c r="A14" s="7" t="inlineStr">
        <is>
          <t>Xanh lá</t>
        </is>
      </c>
      <c r="B14" s="5" t="inlineStr">
        <is>
          <t>Trạng thái «Đã trả lời».</t>
        </is>
      </c>
    </row>
    <row r="15">
      <c r="A15" s="8" t="inlineStr">
        <is>
          <t>Vàng đậm</t>
        </is>
      </c>
      <c r="B15" s="5" t="inlineStr">
        <is>
          <t>Trạng thái «Chờ xác nhận» – bên phát triển đã suy ra từ số liệu/công thức trong file Excel, cần công ty xác nhận đúng/sai.</t>
        </is>
      </c>
    </row>
    <row r="16">
      <c r="A16" s="9" t="inlineStr">
        <is>
          <t>Cam</t>
        </is>
      </c>
      <c r="B16" s="5" t="inlineStr">
        <is>
          <t>Trạng thái «Chưa có thông tin» – cần công ty trả lời mới.</t>
        </is>
      </c>
    </row>
    <row r="17">
      <c r="A17" s="4" t="inlineStr"/>
      <c r="B17" s="5" t="inlineStr"/>
    </row>
    <row r="18">
      <c r="A18" s="4" t="inlineStr">
        <is>
          <t>VÍ DỤ TRẢ LỜI (dòng mẫu)</t>
        </is>
      </c>
      <c r="B18" s="5" t="inlineStr"/>
    </row>
    <row r="19">
      <c r="A19" s="5" t="inlineStr">
        <is>
          <t>Câu hỏi</t>
        </is>
      </c>
      <c r="B19" s="5" t="inlineStr">
        <is>
          <t>Phòng trống là gì?</t>
        </is>
      </c>
    </row>
    <row r="20">
      <c r="A20" s="5" t="inlineStr">
        <is>
          <t>Cách hiểu hiện tại</t>
        </is>
      </c>
      <c r="B20" s="5" t="inlineStr">
        <is>
          <t>Phòng không có hợp đồng hiệu lực tại ngày cuối tháng.</t>
        </is>
      </c>
    </row>
    <row r="21">
      <c r="A21" s="5" t="inlineStr">
        <is>
          <t>Xác nhận</t>
        </is>
      </c>
      <c r="B21" s="6" t="inlineStr">
        <is>
          <t>Sai - xem cột trả lời</t>
        </is>
      </c>
    </row>
    <row r="22">
      <c r="A22" s="5" t="inlineStr">
        <is>
          <t>Trả lời của công ty</t>
        </is>
      </c>
      <c r="B22" s="6" t="inlineStr">
        <is>
          <t>Phòng trống = phòng chưa có người thuê. Phòng trống cuối tháng = phòng hết HĐ vào cuối tháng và sẽ trống. (Người trả lời: A. Hằng – 22/09/2026)</t>
        </is>
      </c>
    </row>
    <row r="23">
      <c r="A23" s="4" t="inlineStr"/>
      <c r="B23" s="5" t="inlineStr"/>
    </row>
    <row r="24">
      <c r="A24" s="5" t="inlineStr">
        <is>
          <t>NGUỒN ĐỐI CHIẾU</t>
        </is>
      </c>
      <c r="B24" s="5" t="inlineStr">
        <is>
          <t>Timohouse.xlsx (sheet Báo cáo tháng 6, Báo cáo kinh doanh Tháng 8, Bảng lương, HD, HD theo tòa, Cập nhật thu tiền, DS phòng phá hợp đồng); Hoa hồng năm 2025-2026.xlsx; Hợp đồng thuê nhà 2026 (Mẫu); Tài liệu mô tả chức năng v1.8.</t>
        </is>
      </c>
    </row>
    <row r="25">
      <c r="A25" s="5" t="inlineStr">
        <is>
          <t>NGƯỜI LẬP / NGÀY</t>
        </is>
      </c>
      <c r="B25" s="5" t="inlineStr">
        <is>
          <t>Bên phát triển – 22/09/2026</t>
        </is>
      </c>
    </row>
    <row r="27">
      <c r="A27" s="16" t="inlineStr">
        <is>
          <t>CẬP NHẬT 22/09/2026</t>
        </is>
      </c>
      <c r="B27" s="5" t="inlineStr">
        <is>
          <t>Đã điền sẵn vào cột «Trả lời / bổ sung» các nội dung lấy từ: (1) file «Câu hỏi làm rõ nghiệp vụ» KH trả lời ngày 06/09/2026 – đánh dấu [KH trả lời 06/09/2026]; (2) file «nội dung làm web Timehouse 31.8.2026» – đánh dấu [File 'nội dung làm web']; (3) đối chiếu công thức trong các file gốc KH gửi ngày 22/09/2026 (bảng lương tháng 8, G1.31.8.26, BÁO CÁO KINH DOANH THÁNG 8, Hoá đơn tháng 9) – đánh dấu [Đối chiếu công thức file nguồn]. KH chỉ cần xem lại và chọn Xác nhận; dòng nào không đúng xin ghi đè.</t>
        </is>
      </c>
    </row>
    <row r="29">
      <c r="A29" s="16" t="inlineStr">
        <is>
          <t>CẬP NHẬT 22/09/2026 (lần 2)</t>
        </is>
      </c>
      <c r="B29" s="5" t="inlineStr">
        <is>
          <t>Bên phát triển đã điền GIẢ ĐỊNH cho toàn bộ mục còn lại (đánh dấu [GIẢ ĐỊNH bên PT – cần KH xác nhận]), dựa trên: công thức trong sổ tháng 9 (Hoá đơn tiền nhà tháng 9), bảng lương tháng 8, file G1 (THU CHI BAN ĐẦU), file hoa hồng và thông lệ kế toán. Mục nào KH thấy đúng chỉ cần chọn «Đúng»; mục nào khác thực tế xin ghi cách đúng vào cùng ô. LƯU Ý sửa so với lần 1: mốc thu tiền CÓ trọng số (mốc 1 100%, mốc 2 90%, mốc 3 70%) theo công thức trong sheet «cập nhật thu tiền» – xem Q33, D47, F39, F46.</t>
        </is>
      </c>
    </row>
    <row r="31">
      <c r="A31" s="16" t="inlineStr">
        <is>
          <t>CẬP NHẬT 22/09/2026 (lần 3)</t>
        </is>
      </c>
      <c r="B31" s="5" t="inlineStr">
        <is>
          <t>Ghi nhận trả lời của KH cho Q01, Q16, Q04, Q06, Q07, Q23, Q30, Q31, Q33 (đánh dấu [KH trả lời 22/09/2026]). Các mục còn lại bên PT đã chuẩn hóa giả định theo thông lệ kế toán Việt Nam (ghi nhận theo kỳ phát sinh cho Báo cáo kinh doanh, theo tiền thực thu/chi cho Báo cáo dòng tiền, khấu hao đường thẳng, không bù trừ doanh thu–chi phí, lũy kế bù lỗ trước khi chia) và thực tế trong sổ của công ty. KH chỉ cần rà và chọn «Đúng».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8" customWidth="1" min="1" max="1"/>
    <col width="14" customWidth="1" min="2" max="2"/>
    <col width="14" customWidth="1" min="3" max="3"/>
    <col width="16" customWidth="1" min="4" max="4"/>
    <col width="20" customWidth="1" min="5" max="5"/>
    <col width="22" customWidth="1" min="6" max="6"/>
    <col width="24" customWidth="1" min="7" max="7"/>
    <col width="16" customWidth="1" min="8" max="8"/>
  </cols>
  <sheetData>
    <row r="1">
      <c r="A1" s="1" t="inlineStr">
        <is>
          <t>TỔNG QUAN TIẾN ĐỘ TRẢ LỜI</t>
        </is>
      </c>
    </row>
    <row r="2">
      <c r="A2" s="3" t="inlineStr">
        <is>
          <t>Sheet này tự đếm từ 3 sheet Câu hỏi / Định nghĩa / Công thức. Không cần chỉnh.</t>
        </is>
      </c>
    </row>
    <row r="4">
      <c r="A4" s="10" t="inlineStr">
        <is>
          <t>Sheet</t>
        </is>
      </c>
      <c r="B4" s="10" t="inlineStr">
        <is>
          <t>Tổng số mục</t>
        </is>
      </c>
      <c r="C4" s="10" t="inlineStr">
        <is>
          <t>Đã trả lời</t>
        </is>
      </c>
      <c r="D4" s="10" t="inlineStr">
        <is>
          <t>Chờ xác nhận</t>
        </is>
      </c>
      <c r="E4" s="10" t="inlineStr">
        <is>
          <t>Chưa có thông tin</t>
        </is>
      </c>
      <c r="F4" s="10" t="inlineStr">
        <is>
          <t>Công ty đã xác nhận</t>
        </is>
      </c>
      <c r="G4" s="10" t="inlineStr">
        <is>
          <t>Còn lại chưa xác nhận</t>
        </is>
      </c>
      <c r="H4" s="10" t="inlineStr">
        <is>
          <t>% hoàn thành</t>
        </is>
      </c>
    </row>
    <row r="5">
      <c r="A5" s="11" t="inlineStr">
        <is>
          <t>Câu hỏi</t>
        </is>
      </c>
      <c r="B5" s="11">
        <f>COUNTA('Câu hỏi'!A2:A65)</f>
        <v/>
      </c>
      <c r="C5" s="11">
        <f>COUNTIF('Câu hỏi'!F2:F65,"Đã trả lời")</f>
        <v/>
      </c>
      <c r="D5" s="11">
        <f>COUNTIF('Câu hỏi'!F2:F65,"Chờ xác nhận")</f>
        <v/>
      </c>
      <c r="E5" s="11">
        <f>COUNTIF('Câu hỏi'!F2:F65,"Chưa có thông tin")</f>
        <v/>
      </c>
      <c r="F5" s="11">
        <f>COUNTA('Câu hỏi'!G2:G65)</f>
        <v/>
      </c>
      <c r="G5" s="11">
        <f>B5-F5</f>
        <v/>
      </c>
      <c r="H5" s="12">
        <f>IF(B5=0,0,F5/B5)</f>
        <v/>
      </c>
    </row>
    <row r="6">
      <c r="A6" s="11" t="inlineStr">
        <is>
          <t>Định nghĩa</t>
        </is>
      </c>
      <c r="B6" s="11">
        <f>COUNTA('Định nghĩa'!A2:A59)</f>
        <v/>
      </c>
      <c r="C6" s="11">
        <f>COUNTIF('Định nghĩa'!E2:E59,"Đã trả lời")</f>
        <v/>
      </c>
      <c r="D6" s="11">
        <f>COUNTIF('Định nghĩa'!E2:E59,"Chờ xác nhận")</f>
        <v/>
      </c>
      <c r="E6" s="11">
        <f>COUNTIF('Định nghĩa'!E2:E59,"Chưa có thông tin")</f>
        <v/>
      </c>
      <c r="F6" s="11">
        <f>COUNTA('Định nghĩa'!F2:F59)</f>
        <v/>
      </c>
      <c r="G6" s="11">
        <f>B6-F6</f>
        <v/>
      </c>
      <c r="H6" s="12">
        <f>IF(B6=0,0,F6/B6)</f>
        <v/>
      </c>
    </row>
    <row r="7">
      <c r="A7" s="11" t="inlineStr">
        <is>
          <t>Công thức</t>
        </is>
      </c>
      <c r="B7" s="11">
        <f>COUNTA('Công thức'!A2:A57)</f>
        <v/>
      </c>
      <c r="C7" s="11">
        <f>COUNTIF('Công thức'!F2:F57,"Đã trả lời")</f>
        <v/>
      </c>
      <c r="D7" s="11">
        <f>COUNTIF('Công thức'!F2:F57,"Chờ xác nhận")</f>
        <v/>
      </c>
      <c r="E7" s="11">
        <f>COUNTIF('Công thức'!F2:F57,"Chưa có thông tin")</f>
        <v/>
      </c>
      <c r="F7" s="11">
        <f>COUNTA('Công thức'!G2:G57)</f>
        <v/>
      </c>
      <c r="G7" s="11">
        <f>B7-F7</f>
        <v/>
      </c>
      <c r="H7" s="12">
        <f>IF(B7=0,0,F7/B7)</f>
        <v/>
      </c>
    </row>
    <row r="8">
      <c r="A8" s="13" t="inlineStr">
        <is>
          <t>TỔNG</t>
        </is>
      </c>
      <c r="B8" s="14">
        <f>SUM(B5:B7)</f>
        <v/>
      </c>
      <c r="C8" s="14">
        <f>SUM(C5:C7)</f>
        <v/>
      </c>
      <c r="D8" s="14">
        <f>SUM(D5:D7)</f>
        <v/>
      </c>
      <c r="E8" s="14">
        <f>SUM(E5:E7)</f>
        <v/>
      </c>
      <c r="F8" s="14">
        <f>SUM(F5:F7)</f>
        <v/>
      </c>
      <c r="G8" s="14">
        <f>SUM(G5:G7)</f>
        <v/>
      </c>
      <c r="H8" s="15">
        <f>IF(B8=0,0,F8/B8)</f>
        <v/>
      </c>
    </row>
    <row r="10">
      <c r="A10" s="16" t="inlineStr">
        <is>
          <t>Chú giải trạng thái:</t>
        </is>
      </c>
    </row>
    <row r="11">
      <c r="A11" s="17" t="inlineStr">
        <is>
          <t>Đã trả lời</t>
        </is>
      </c>
      <c r="B11" s="18" t="inlineStr">
        <is>
          <t>Công ty đã trả lời trước đó – chỉ cần xác nhận lại.</t>
        </is>
      </c>
    </row>
    <row r="12">
      <c r="A12" s="19" t="inlineStr">
        <is>
          <t>Chờ xác nhận</t>
        </is>
      </c>
      <c r="B12" s="18" t="inlineStr">
        <is>
          <t>Bên phát triển suy ra từ số liệu/công thức Excel – cần công ty xác nhận đúng/sai.</t>
        </is>
      </c>
    </row>
    <row r="13">
      <c r="A13" s="20" t="inlineStr">
        <is>
          <t>Chưa có thông tin</t>
        </is>
      </c>
      <c r="B13" s="18" t="inlineStr">
        <is>
          <t>Bên phát triển chưa có thông tin – cần công ty trả lời.</t>
        </is>
      </c>
    </row>
    <row r="14">
      <c r="A14" s="21" t="inlineStr">
        <is>
          <t>Ô công ty cần điền</t>
        </is>
      </c>
      <c r="B14" s="18" t="inlineStr">
        <is>
          <t>Cột màu vàng ở các sheet: Xác nhận, Trả lời / bổ sung, Người trả lời, Ngày.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55" customWidth="1" min="3" max="3"/>
    <col width="30" customWidth="1" min="4" max="4"/>
    <col width="45" customWidth="1" min="5" max="5"/>
    <col width="15" customWidth="1" min="6" max="6"/>
    <col width="18" customWidth="1" min="7" max="7"/>
    <col width="50" customWidth="1" min="8" max="8"/>
    <col width="14" customWidth="1" min="9" max="9"/>
    <col width="11" customWidth="1" min="10" max="10"/>
  </cols>
  <sheetData>
    <row r="1">
      <c r="A1" s="10" t="inlineStr">
        <is>
          <t>Mã</t>
        </is>
      </c>
      <c r="B1" s="10" t="inlineStr">
        <is>
          <t>Nhóm</t>
        </is>
      </c>
      <c r="C1" s="10" t="inlineStr">
        <is>
          <t>Câu hỏi</t>
        </is>
      </c>
      <c r="D1" s="10" t="inlineStr">
        <is>
          <t>Vì sao cần hỏi</t>
        </is>
      </c>
      <c r="E1" s="10" t="inlineStr">
        <is>
          <t>Cách hiểu hiện tại của bên phát triển</t>
        </is>
      </c>
      <c r="F1" s="10" t="inlineStr">
        <is>
          <t>Trạng thái</t>
        </is>
      </c>
      <c r="G1" s="10" t="inlineStr">
        <is>
          <t>Xác nhận
(chọn)</t>
        </is>
      </c>
      <c r="H1" s="10" t="inlineStr">
        <is>
          <t>Trả lời / bổ sung của công ty</t>
        </is>
      </c>
      <c r="I1" s="10" t="inlineStr">
        <is>
          <t>Người trả lời</t>
        </is>
      </c>
      <c r="J1" s="10" t="inlineStr">
        <is>
          <t>Ngày</t>
        </is>
      </c>
    </row>
    <row r="2">
      <c r="A2" s="22" t="inlineStr">
        <is>
          <t>Q01</t>
        </is>
      </c>
      <c r="B2" s="22" t="inlineStr">
        <is>
          <t>Doanh thu</t>
        </is>
      </c>
      <c r="C2" s="22" t="inlineStr">
        <is>
          <t>Tổng doanh thu tháng tính theo tiền khách ĐÃ ĐÓNG thực tế trong tháng, hay theo hóa đơn đã phát hành (kể cả chưa thu)?</t>
        </is>
      </c>
      <c r="D2" s="22" t="inlineStr">
        <is>
          <t>Quyết định phần mềm lấy số từ Thu tiền hay từ Hóa đơn.</t>
        </is>
      </c>
      <c r="E2" s="22" t="inlineStr">
        <is>
          <t>Theo công thức file G1 (ô C2 = cột «Tổng đã đóng»): doanh thu = tiền thực thu trong tháng.</t>
        </is>
      </c>
      <c r="F2" s="25" t="inlineStr">
        <is>
          <t>Đã trả lời</t>
        </is>
      </c>
      <c r="G2" s="24" t="inlineStr"/>
      <c r="H2" s="24" t="inlineStr">
        <is>
          <t>[KH trả lời 22/09/2026] Cần 2 loại báo cáo: «Báo cáo lợi nhuận dòng tiền» và «Báo cáo kinh doanh». Làm báo cáo từng tòa rồi gộp vào báo cáo tổng (T/S/G → toàn hệ thống), theo tháng.
[GIẢ ĐỊNH bên PT theo chuẩn kế toán &amp; thực tế DN – cần KH xác nhận] (1) Dòng tiền = ghi theo tiền thực thu/thực chi trong tháng (đúng như Excel hiện tại). (2) Kinh doanh = ghi theo kỳ phát sinh: doanh thu theo hóa đơn phát hành trong tháng (không gồm cọc thu/hoàn), chi phí theo tháng phát sinh nghĩa vụ (tiền nhà theo tháng dù trả quý, lương theo kỳ lương, giá gốc điện nước theo kỳ hóa đơn NCC), thiết bị và đầu tư ban đầu tính khấu hao. Hai báo cáo dùng chung sổ giao dịch, chỉ khác quy tắc ghi nhận thời điểm.</t>
        </is>
      </c>
      <c r="I2" s="24" t="inlineStr">
        <is>
          <t>KH 22/09 + Bên PT</t>
        </is>
      </c>
      <c r="J2" s="24" t="inlineStr"/>
    </row>
    <row r="3">
      <c r="A3" s="22" t="inlineStr">
        <is>
          <t>Q02</t>
        </is>
      </c>
      <c r="B3" s="22" t="inlineStr">
        <is>
          <t>Doanh thu</t>
        </is>
      </c>
      <c r="C3" s="22" t="inlineStr">
        <is>
          <t>Tiền của hóa đơn tháng trước nhưng khách nộp trong tháng này thì tính doanh thu tháng nào?</t>
        </is>
      </c>
      <c r="D3" s="22" t="inlineStr">
        <is>
          <t>Tránh đếm trùng hoặc sót giữa 2 tháng.</t>
        </is>
      </c>
      <c r="E3" s="22" t="inlineStr">
        <is>
          <t>Tính vào tháng khách nộp tiền.</t>
        </is>
      </c>
      <c r="F3" s="23" t="inlineStr">
        <is>
          <t>Chờ xác nhận</t>
        </is>
      </c>
      <c r="G3" s="24" t="inlineStr"/>
      <c r="H3" s="24" t="inlineStr">
        <is>
          <t>[GIẢ ĐỊNH bên PT theo chuẩn kế toán &amp; thực tế DN – cần KH xác nhận] BC dòng tiền: doanh thu = tháng khách nộp tiền (kể cả nộp cho hóa đơn cũ). BC kinh doanh: doanh thu = tháng phát hành hóa đơn; tiền nộp cho hóa đơn cũ chỉ giảm công nợ. Tiền nộp trước cho tháng sau (đóng quý) = «doanh thu chưa thực hiện», phân bổ đều các tháng.</t>
        </is>
      </c>
      <c r="I3" s="24" t="inlineStr">
        <is>
          <t>KH 22/09 + Bên PT</t>
        </is>
      </c>
      <c r="J3" s="24" t="inlineStr"/>
    </row>
    <row r="4">
      <c r="A4" s="22" t="inlineStr">
        <is>
          <t>Q03</t>
        </is>
      </c>
      <c r="B4" s="22" t="inlineStr">
        <is>
          <t>Doanh thu</t>
        </is>
      </c>
      <c r="C4" s="22" t="inlineStr">
        <is>
          <t>Cọc phòng mới: ghi nhận khi khách nộp cọc hay khi khách vào ở? Cọc giữ chỗ nhưng chưa vào ở có tính không?</t>
        </is>
      </c>
      <c r="D4" s="22" t="inlineStr">
        <is>
          <t>Dòng «Cọc phòng mới» trên báo cáo.</t>
        </is>
      </c>
      <c r="E4" s="22" t="inlineStr">
        <is>
          <t>ĐÃ TRẢ LỜI: trong tháng có phòng thuê mới (khách vào ở ngày 10, 15…) thì lấy cọc phòng đó tính vào báo cáo tháng đó.</t>
        </is>
      </c>
      <c r="F4" s="25" t="inlineStr">
        <is>
          <t>Đã trả lời</t>
        </is>
      </c>
      <c r="G4" s="24" t="inlineStr"/>
      <c r="H4" s="24" t="inlineStr">
        <is>
          <t>[File 'nội dung làm web' 31/08/2026] Bảng doanh số có cột «số tiền đặt cọc», «ngày tính tiền», «tình trạng phòng chốt (ở luôn / cuối tháng / đang chờ)» → cọc mới ghi theo ngày tính tiền; phù hợp câu trả lời trước.</t>
        </is>
      </c>
      <c r="I4" s="24" t="inlineStr">
        <is>
          <t>KH</t>
        </is>
      </c>
      <c r="J4" s="24" t="inlineStr"/>
    </row>
    <row r="5">
      <c r="A5" s="22" t="inlineStr">
        <is>
          <t>Q04</t>
        </is>
      </c>
      <c r="B5" s="22" t="inlineStr">
        <is>
          <t>Doanh thu</t>
        </is>
      </c>
      <c r="C5" s="22" t="inlineStr">
        <is>
          <t>Cọc khách bỏ không ở: ghi vào tháng khách báo bỏ hay tháng quyết toán? Số tiền là toàn bộ cọc hay cọc trừ tiền nhà những ngày đã ở?</t>
        </is>
      </c>
      <c r="D5" s="22" t="inlineStr">
        <is>
          <t>Dòng «Cọc khách bỏ không ở».</t>
        </is>
      </c>
      <c r="E5" s="22" t="inlineStr">
        <is>
          <t>Ghi vào tháng khách báo bỏ; số tiền = cọc − tiền nhà theo ngày đã ở (giống cách tính trong file hoa hồng).</t>
        </is>
      </c>
      <c r="F5" s="25" t="inlineStr">
        <is>
          <t>Đã trả lời</t>
        </is>
      </c>
      <c r="G5" s="24" t="inlineStr"/>
      <c r="H5" s="24" t="inlineStr">
        <is>
          <t>[KH trả lời 22/09/2026] Cọc khách bỏ: coi như phòng đó không có phần hoàn cọc, KHÔNG tính thêm vào báo cáo – vì lúc thu đã tính vào «Cọc phòng mới» rồi.
[GIẢ ĐỊNH bên PT theo chuẩn kế toán &amp; thực tế DN – cần KH xác nhận] BC dòng tiền: dòng «Cọc khách bỏ không ở» chỉ là số theo dõi (memo), không cộng vào Tổng doanh thu; hoàn cọc = 0. BC kinh doanh: phần cọc bị giữ lại ghi nhận là «Thu nhập khác – cọc giữ lại» tại tháng khách bỏ (theo chuẩn kế toán, cọc chuyển từ nợ phải trả sang thu nhập khi bị tịch thu).</t>
        </is>
      </c>
      <c r="I5" s="24" t="inlineStr">
        <is>
          <t>KH 22/09 + Bên PT</t>
        </is>
      </c>
      <c r="J5" s="24" t="inlineStr"/>
    </row>
    <row r="6">
      <c r="A6" s="22" t="inlineStr">
        <is>
          <t>Q05</t>
        </is>
      </c>
      <c r="B6" s="22" t="inlineStr">
        <is>
          <t>Doanh thu</t>
        </is>
      </c>
      <c r="C6" s="22" t="inlineStr">
        <is>
          <t>Hoàn cọc trừ khỏi doanh thu tháng nào: tháng khách ra hay tháng công ty thực chi tiền hoàn?</t>
        </is>
      </c>
      <c r="D6" s="22" t="inlineStr">
        <is>
          <t>Dòng «Hoàn cọc».</t>
        </is>
      </c>
      <c r="E6" s="22" t="inlineStr">
        <is>
          <t>Tháng thực chi tiền hoàn.</t>
        </is>
      </c>
      <c r="F6" s="25" t="inlineStr">
        <is>
          <t>Đã trả lời</t>
        </is>
      </c>
      <c r="G6" s="24" t="inlineStr"/>
      <c r="H6" s="24" t="inlineStr">
        <is>
          <t>[KH trả lời 06/09/2026] (câu 17) Hoàn cọc = tiền cọc − khấu hao cố định 200.000đ/phòng − sửa chữa, vệ sinh… theo chi phí thực tế phát sinh; admin và kế toán duyệt. [Đối chiếu công thức file nguồn KH gửi 22/09/2026] File G1 báo cáo tháng 8: Tổng doanh thu = Tổng đã đóng − Hoàn cọc (ô C2 = AX2 − C7) → hoàn cọc trừ vào tháng ghi nhận hoàn.</t>
        </is>
      </c>
      <c r="I6" s="24" t="inlineStr">
        <is>
          <t>KH + đối chiếu file</t>
        </is>
      </c>
      <c r="J6" s="24" t="inlineStr"/>
    </row>
    <row r="7">
      <c r="A7" s="22" t="inlineStr">
        <is>
          <t>Q06</t>
        </is>
      </c>
      <c r="B7" s="22" t="inlineStr">
        <is>
          <t>Doanh thu</t>
        </is>
      </c>
      <c r="C7" s="22" t="inlineStr">
        <is>
          <t>Phòng khách trả giữa tháng: tiền phòng tháng đó xử lý thế nào (không thu, tính theo số ngày ở, hay trừ vào cọc)?</t>
        </is>
      </c>
      <c r="D7" s="22" t="inlineStr">
        <is>
          <t>Công thức DT tiền phòng trong file G1 đang trừ nguyên giá của phòng đã trả.</t>
        </is>
      </c>
      <c r="E7" s="22" t="inlineStr">
        <is>
          <t>Chưa rõ.</t>
        </is>
      </c>
      <c r="F7" s="25" t="inlineStr">
        <is>
          <t>Đã trả lời</t>
        </is>
      </c>
      <c r="G7" s="24" t="inlineStr"/>
      <c r="H7" s="24" t="inlineStr">
        <is>
          <t>[KH trả lời 22/09/2026] Phòng ký HĐ: trước khi hết HĐ 35 ngày hệ thống lập danh sách; quản lý review và xác nhận phòng nào khách báo không thuê nữa, phòng nào tự gia hạn HĐ lần mới (HĐ mới được thay đổi thời hạn, giá, các điều khoản). Nếu không báo mà rời đi → phá hợp đồng → thu ở phần «khách hàng phá hợp đồng».
[GIẢ ĐỊNH bên PT theo chuẩn kế toán &amp; thực tế DN – cần KH xác nhận] Kết thúc đúng hạn (có báo): tiền phòng tính đến ngày hết HĐ; nếu ngày hết HĐ giữa tháng thì tháng cuối = giá ÷ 30 × số ngày ở; điện nước chốt ngày ra; quyết toán → hoàn cọc. Rời sớm hơn ngày hết HĐ (dù có báo) = phá HĐ: mất cọc theo HĐ, không tính tiền phòng các tháng còn lại, phần nợ còn thiếu (điện nước, nợ cũ) theo dõi ở DS phòng phá HĐ. Gia hạn = tạo HĐ phiên bản mới nối tiếp, giữ mã khách, giữ cọc (thu/hoàn phần chênh nếu đổi giá).</t>
        </is>
      </c>
      <c r="I7" s="24" t="inlineStr">
        <is>
          <t>KH 22/09 + Bên PT</t>
        </is>
      </c>
      <c r="J7" s="24" t="inlineStr"/>
    </row>
    <row r="8">
      <c r="A8" s="22" t="inlineStr">
        <is>
          <t>Q07</t>
        </is>
      </c>
      <c r="B8" s="22" t="inlineStr">
        <is>
          <t>Doanh thu</t>
        </is>
      </c>
      <c r="C8" s="22" t="inlineStr">
        <is>
          <t>Điện/nước của phòng đã trả trong tháng có tính vào doanh thu không? (File G1: tiền điện tính đủ cả phòng đã trả, nhưng nước/mạng/thang máy lại trừ đi)</t>
        </is>
      </c>
      <c r="D8" s="22" t="inlineStr">
        <is>
          <t>Các dòng dịch vụ đang xử lý không giống nhau.</t>
        </is>
      </c>
      <c r="E8" s="22" t="inlineStr">
        <is>
          <t>Chưa rõ – đề nghị công ty giải thích cách làm đúng.</t>
        </is>
      </c>
      <c r="F8" s="25" t="inlineStr">
        <is>
          <t>Đã trả lời</t>
        </is>
      </c>
      <c r="G8" s="24" t="inlineStr"/>
      <c r="H8" s="24" t="inlineStr">
        <is>
          <t>[KH trả lời 22/09/2026] Điện nước đã báo trên hóa đơn từng phòng thì đó là doanh thu.
[GIẢ ĐỊNH bên PT theo chuẩn kế toán &amp; thực tế DN – cần KH xác nhận] → Doanh thu dịch vụ = Σ dòng dịch vụ trên hóa đơn (kể cả hóa đơn cuối của phòng đã trả và phần khấu trừ vào cọc). Điện nước phòng trống/không xuất hóa đơn = chi phí (nằm trong giá gốc điện nước của tòa). Phần mềm áp dụng một quy tắc cho mọi dịch vụ, không còn cộng/trừ tay như file G1.</t>
        </is>
      </c>
      <c r="I8" s="24" t="inlineStr">
        <is>
          <t>KH 22/09 + Bên PT</t>
        </is>
      </c>
      <c r="J8" s="24" t="inlineStr"/>
    </row>
    <row r="9">
      <c r="A9" s="22" t="inlineStr">
        <is>
          <t>Q08</t>
        </is>
      </c>
      <c r="B9" s="22" t="inlineStr">
        <is>
          <t>Doanh thu</t>
        </is>
      </c>
      <c r="C9" s="22" t="inlineStr">
        <is>
          <t>Tiền phòng tính theo ngày (phòng mới vào giữa tháng, phòng trả giữa tháng) chia cho 30 hay chia cho số ngày thực của tháng (28/30/31)?</t>
        </is>
      </c>
      <c r="D9" s="22" t="inlineStr">
        <is>
          <t>Sổ tòa ghi «Ngày ở = 30», file hoa hồng lại chia 31.</t>
        </is>
      </c>
      <c r="E9" s="22" t="inlineStr">
        <is>
          <t>Chưa rõ.</t>
        </is>
      </c>
      <c r="F9" s="23" t="inlineStr">
        <is>
          <t>Chờ xác nhận</t>
        </is>
      </c>
      <c r="G9" s="24" t="inlineStr"/>
      <c r="H9" s="24" t="inlineStr">
        <is>
          <t>[GIẢ ĐỊNH bên PT theo chuẩn kế toán &amp; thực tế DN – cần KH xác nhận] Chọn quy ước công ty đang dùng trên sổ: tiền phòng theo ngày = giá tháng ÷ 30 × số ngày ở (đơn giản cho khách, nhất quán với «Ngày ở = 30»). Áp dụng cùng quy ước cho hoa hồng bỏ cọc và DT thu thêm (file hoa hồng/bảng lương hiện chia 31 → đổi về 30). Tham số cấu hình được nếu sau này muốn theo số ngày thực.</t>
        </is>
      </c>
      <c r="I9" s="24" t="inlineStr">
        <is>
          <t>KH 22/09 + Bên PT</t>
        </is>
      </c>
      <c r="J9" s="24" t="inlineStr"/>
    </row>
    <row r="10">
      <c r="A10" s="22" t="inlineStr">
        <is>
          <t>Q09</t>
        </is>
      </c>
      <c r="B10" s="22" t="inlineStr">
        <is>
          <t>Doanh thu</t>
        </is>
      </c>
      <c r="C10" s="22" t="inlineStr">
        <is>
          <t>Khách chuyển phòng trong cùng tòa: phòng cũ có tính «phá hợp đồng», phòng mới có tính «phòng mới», có thu cọc mới không?</t>
        </is>
      </c>
      <c r="D10" s="22" t="inlineStr">
        <is>
          <t>Ảnh hưởng số phòng mới / phá HĐ và dòng cọc.</t>
        </is>
      </c>
      <c r="E10" s="22" t="inlineStr">
        <is>
          <t>Không tính phá HĐ, không tính phòng mới, cọc chuyển theo phòng mới.</t>
        </is>
      </c>
      <c r="F10" s="23" t="inlineStr">
        <is>
          <t>Chờ xác nhận</t>
        </is>
      </c>
      <c r="G10" s="24" t="inlineStr"/>
      <c r="H10" s="24" t="inlineStr">
        <is>
          <t>[GIẢ ĐỊNH bên PT – cần KH xác nhận] Chuyển phòng nội bộ = 1 sự kiện «đổi phòng» trên cùng HĐ: phòng cũ không tính phá HĐ, phòng mới không tính phòng mới, cọc chuyển theo (chỉ thu thêm/hoàn phần chênh nếu giá cọc khác). Chỉ ghi nhận hoa hồng 1 lần theo phòng chốt ban đầu.</t>
        </is>
      </c>
      <c r="I10" s="24" t="inlineStr">
        <is>
          <t>Bên PT (giả định)</t>
        </is>
      </c>
      <c r="J10" s="24" t="inlineStr"/>
    </row>
    <row r="11">
      <c r="A11" s="22" t="inlineStr">
        <is>
          <t>Q10</t>
        </is>
      </c>
      <c r="B11" s="22" t="inlineStr">
        <is>
          <t>Doanh thu</t>
        </is>
      </c>
      <c r="C11" s="22" t="inlineStr">
        <is>
          <t>Khoản «DV khác / Combo 120.000đ/người» có phải = 60.000 vệ sinh + 60.000 máy giặt ở mọi tòa? Tòa có phí vệ sinh riêng (VD T18: 30.000) thì xử lý sao?</t>
        </is>
      </c>
      <c r="D11" s="22" t="inlineStr">
        <is>
          <t>Báo cáo G1 đang chia đôi khoản này thành 2 dòng vệ sinh và máy giặt.</t>
        </is>
      </c>
      <c r="E11" s="22" t="inlineStr">
        <is>
          <t>Đúng với đa số tòa; tòa có giá riêng thì tách theo giá riêng của tòa.</t>
        </is>
      </c>
      <c r="F11" s="23" t="inlineStr">
        <is>
          <t>Chờ xác nhận</t>
        </is>
      </c>
      <c r="G11" s="24" t="inlineStr"/>
      <c r="H11" s="24" t="inlineStr">
        <is>
          <t>[Căn cứ file KH gửi 22/09] Sổ tháng 9: NHÀ T dùng «DV khác» 120.000/người; phòng mới G6/S42 dùng vệ sinh 60.000 + (máy giặt 50–60.000) tách riêng; T18 nước 100.000 + vệ sinh 30.000. [GIẢ ĐỊNH bên PT – cần KH xác nhận] Phần mềm tách thành 2 dịch vụ riêng «Vệ sinh» và «Máy giặt» với đơn giá mặc định 60.000/người mỗi loại; tòa nào có giá riêng cấu hình override theo tòa; combo 120.000 chỉ là cách ghi gộp cũ.</t>
        </is>
      </c>
      <c r="I11" s="24" t="inlineStr">
        <is>
          <t>Bên PT (giả định)</t>
        </is>
      </c>
      <c r="J11" s="24" t="inlineStr"/>
    </row>
    <row r="12">
      <c r="A12" s="22" t="inlineStr">
        <is>
          <t>Q11</t>
        </is>
      </c>
      <c r="B12" s="22" t="inlineStr">
        <is>
          <t>Doanh thu</t>
        </is>
      </c>
      <c r="C12" s="22" t="inlineStr">
        <is>
          <t>Cột «Thu khác» trong sổ tòa gồm những khoản gì và nằm ở dòng nào của báo cáo?</t>
        </is>
      </c>
      <c r="D12" s="22" t="inlineStr">
        <is>
          <t>Để khớp tổng doanh thu.</t>
        </is>
      </c>
      <c r="E12" s="22" t="inlineStr">
        <is>
          <t>Chưa rõ.</t>
        </is>
      </c>
      <c r="F12" s="23" t="inlineStr">
        <is>
          <t>Chờ xác nhận</t>
        </is>
      </c>
      <c r="G12" s="24" t="inlineStr"/>
      <c r="H12" s="24" t="inlineStr">
        <is>
          <t>[Căn cứ file KH gửi 22/09] Sổ tháng 9: «Thu khác» là các khoản phụ thu ghi kèm tiền phòng (VD +100.000, +200.000 thêm người/xe) và tiền điện chốt bổ sung. [GIẢ ĐỊNH bên PT – cần KH xác nhận] Thu khác = dòng «Phụ thu / khoản khác» trên hóa đơn (thêm người, thêm xe, phạt, đền bù, bán đồ); trên báo cáo gộp vào «Doanh thu tiền phòng» nếu là phụ thu tiền phòng, còn phạt/đền bù đưa vào «Doanh thu khác» (dòng mới, mặc định 0).</t>
        </is>
      </c>
      <c r="I12" s="24" t="inlineStr">
        <is>
          <t>Bên PT (giả định)</t>
        </is>
      </c>
      <c r="J12" s="24" t="inlineStr"/>
    </row>
    <row r="13">
      <c r="A13" s="22" t="inlineStr">
        <is>
          <t>Q12</t>
        </is>
      </c>
      <c r="B13" s="22" t="inlineStr">
        <is>
          <t>Doanh thu</t>
        </is>
      </c>
      <c r="C13" s="22" t="inlineStr">
        <is>
          <t>«Điện chung» tính vào doanh thu điện hay dòng riêng? Chia cho các phòng theo cách nào (theo phòng / theo người)?</t>
        </is>
      </c>
      <c r="D13" s="22" t="inlineStr">
        <is>
          <t>Dòng doanh thu điện.</t>
        </is>
      </c>
      <c r="E13" s="22" t="inlineStr">
        <is>
          <t>Chưa rõ.</t>
        </is>
      </c>
      <c r="F13" s="23" t="inlineStr">
        <is>
          <t>Chờ xác nhận</t>
        </is>
      </c>
      <c r="G13" s="24" t="inlineStr"/>
      <c r="H13" s="24" t="inlineStr">
        <is>
          <t>[Căn cứ file KH gửi 22/09] Sổ tháng 9 có cột «ĐIỆN CHUNG» trong tổng DV và bảng «Điện vệ sinh chung» (CS cũ/mới, SL, đơn giá, số người sử dụng). [GIẢ ĐỊNH bên PT – cần KH xác nhận] Điện chung = điện công tơ khu vực chung, chia theo số người ở của từng phòng; ghi thành dòng dịch vụ «Điện chung» trên hóa đơn và cộng vào «Doanh thu điện» trên báo cáo.</t>
        </is>
      </c>
      <c r="I13" s="24" t="inlineStr">
        <is>
          <t>Bên PT (giả định)</t>
        </is>
      </c>
      <c r="J13" s="24" t="inlineStr"/>
    </row>
    <row r="14">
      <c r="A14" s="22" t="inlineStr">
        <is>
          <t>Q13</t>
        </is>
      </c>
      <c r="B14" s="22" t="inlineStr">
        <is>
          <t>Doanh thu</t>
        </is>
      </c>
      <c r="C14" s="22" t="inlineStr">
        <is>
          <t>Khách đóng theo quý (Kỳ TT = 3): doanh thu ghi 1 lần cả quý vào tháng nộp, hay chia đều 3 tháng?</t>
        </is>
      </c>
      <c r="D14" s="22" t="inlineStr">
        <is>
          <t>Ảnh hưởng doanh thu từng tháng.</t>
        </is>
      </c>
      <c r="E14" s="22" t="inlineStr">
        <is>
          <t>Chưa rõ.</t>
        </is>
      </c>
      <c r="F14" s="23" t="inlineStr">
        <is>
          <t>Chờ xác nhận</t>
        </is>
      </c>
      <c r="G14" s="24" t="inlineStr"/>
      <c r="H14" s="24" t="inlineStr">
        <is>
          <t>[GIẢ ĐỊNH bên PT theo chuẩn kế toán &amp; thực tế DN – cần KH xác nhận] Khách đóng quý: hóa đơn 3 tháng tiền phòng phát hành 1 lần. BC dòng tiền ghi cả 3 tháng vào tháng thu; BC kinh doanh chia đều 3 tháng (doanh thu chưa thực hiện). Hiệu suất thu tiền của quản lý tính trên DT phải thu của kỳ (cả 3 tháng nếu hóa đơn quý phát hành trong tháng đó) – vì mục tiêu là thu đủ hóa đơn đã phát hành.</t>
        </is>
      </c>
      <c r="I14" s="24" t="inlineStr">
        <is>
          <t>KH 22/09 + Bên PT</t>
        </is>
      </c>
      <c r="J14" s="24" t="inlineStr"/>
    </row>
    <row r="15">
      <c r="A15" s="22" t="inlineStr">
        <is>
          <t>Q14</t>
        </is>
      </c>
      <c r="B15" s="22" t="inlineStr">
        <is>
          <t>Doanh thu</t>
        </is>
      </c>
      <c r="C15" s="22" t="inlineStr">
        <is>
          <t>Số phòng phá HĐ / phòng mới / phòng trống trên báo cáo tổng là cộng từ từng tòa? Một phòng vừa trả vừa có khách mới trong cùng tháng thì đếm cả 2 (như P401, P402 tháng 6)?</t>
        </is>
      </c>
      <c r="D15" s="22" t="inlineStr">
        <is>
          <t>Tránh đếm trùng.</t>
        </is>
      </c>
      <c r="E15" s="22" t="inlineStr">
        <is>
          <t>Cộng từ tòa; phòng vừa trả vừa có khách mới đếm cả 2.</t>
        </is>
      </c>
      <c r="F15" s="23" t="inlineStr">
        <is>
          <t>Chờ xác nhận</t>
        </is>
      </c>
      <c r="G15" s="24" t="inlineStr"/>
      <c r="H15" s="24" t="inlineStr">
        <is>
          <t>[File 'nội dung làm web' 31/08/2026] Phòng trống tách 3 loại: trống ở luôn trong tháng / trống hết tháng / đang chờ. Cách đếm trên báo cáo tổng vẫn cần xác nhận.
[GIẢ ĐỊNH bên PT – cần KH xác nhận] Đếm theo từng tòa rồi cộng lên nhóm T/S/G và tổng. Một phòng vừa trả vừa có khách mới trong tháng đếm cả 2 (1 phá HĐ + 1 phòng mới). Phòng trống đếm tại ngày cuối tháng, tách 3 loại như KH yêu cầu: trống ở luôn (có thể vào ngay) / trống hết tháng (HĐ hết cuối tháng) / đang chờ (đã cọc, chưa vào).</t>
        </is>
      </c>
      <c r="I15" s="24" t="inlineStr">
        <is>
          <t>KH + Bên PT (giả định)</t>
        </is>
      </c>
      <c r="J15" s="24" t="inlineStr"/>
    </row>
    <row r="16">
      <c r="A16" s="22" t="inlineStr">
        <is>
          <t>Q15</t>
        </is>
      </c>
      <c r="B16" s="22" t="inlineStr">
        <is>
          <t>Giá vốn &amp; chi phí</t>
        </is>
      </c>
      <c r="C16" s="22" t="inlineStr">
        <is>
          <t>Tiền thuê nhà trả chủ nhà theo quý nhưng báo cáo ghi theo tháng đúng không? Có tháng được miễn/giảm tiền nhà (thời gian sửa chữa ban đầu) không, ghi thế nào?</t>
        </is>
      </c>
      <c r="D16" s="22" t="inlineStr">
        <is>
          <t>Là dòng giá vốn lớn nhất.</t>
        </is>
      </c>
      <c r="E16" s="22" t="inlineStr">
        <is>
          <t>Ghi theo tháng = tiền thuê/tháng trên hợp đồng đầu vào.</t>
        </is>
      </c>
      <c r="F16" s="23" t="inlineStr">
        <is>
          <t>Chờ xác nhận</t>
        </is>
      </c>
      <c r="G16" s="24" t="inlineStr"/>
      <c r="H16" s="24" t="inlineStr">
        <is>
          <t>[GIẢ ĐỊNH bên PT theo chuẩn kế toán &amp; thực tế DN – cần KH xác nhận] Tiền thuê nhà ghi chi phí đều theo tháng (thẳng hàng) = tổng tiền thuê của kỳ ÷ số tháng, dù trả chủ nhà 3/4/6 tháng một lần (phần trả trước = chi phí trả trước). Tháng miễn tiền nhà (setup): BC kinh doanh vẫn phân bổ đều tổng tiền thuê toàn HĐ theo tháng (chuẩn kế toán thuê hoạt động); BC dòng tiền ghi 0. Lịch đóng tiền chủ nhà &amp; cổ đông góp theo % gắn với HĐ đầu vào.</t>
        </is>
      </c>
      <c r="I16" s="24" t="inlineStr">
        <is>
          <t>KH 22/09 + Bên PT</t>
        </is>
      </c>
      <c r="J16" s="24" t="inlineStr"/>
    </row>
    <row r="17">
      <c r="A17" s="22" t="inlineStr">
        <is>
          <t>Q16</t>
        </is>
      </c>
      <c r="B17" s="22" t="inlineStr">
        <is>
          <t>Giá vốn &amp; chi phí</t>
        </is>
      </c>
      <c r="C17" s="22" t="inlineStr">
        <is>
          <t>Mua thêm thiết bị: tính hết vào tháng mua, hay khoản lớn (điều hòa, tủ lạnh…) chia nhiều tháng?</t>
        </is>
      </c>
      <c r="D17" s="22" t="inlineStr">
        <is>
          <t>Dòng «Mua sắm thêm thiết bị».</t>
        </is>
      </c>
      <c r="E17" s="22" t="inlineStr">
        <is>
          <t>Tính hết vào tháng mua.</t>
        </is>
      </c>
      <c r="F17" s="25" t="inlineStr">
        <is>
          <t>Đã trả lời</t>
        </is>
      </c>
      <c r="G17" s="24" t="inlineStr"/>
      <c r="H17" s="24" t="inlineStr">
        <is>
          <t>[KH trả lời 22/09/2026] (15) Mua sắm thiết bị: 1 lần trong BC dòng tiền; khấu hao trong BC kinh doanh. (6) Đầu tư ban đầu cũng khấu hao.
[GIẢ ĐỊNH bên PT theo chuẩn kế toán &amp; thực tế DN – cần KH xác nhận] Chính sách khấu hao đề xuất (tham chiếu TT45/2013 &amp; thực tế nhà cho thuê): thiết bị/nội thất &lt; 10 triệu → phân bổ đều 12 tháng (công cụ dụng cụ); ≥ 10 triệu (điều hòa, tủ lạnh, máy giặt, bơm) → 36 tháng; chi phí cải tạo ban đầu (thạch cao, tủ bếp, rèm, điện nước) → phân bổ theo thời hạn HĐ đầu vào còn lại (tối đa 60 tháng). Bắt đầu từ tháng đưa vào sử dụng; khi trả tòa sớm, phần chưa khấu hao ghi hết vào tháng trả.</t>
        </is>
      </c>
      <c r="I17" s="24" t="inlineStr">
        <is>
          <t>KH 22/09 + Bên PT</t>
        </is>
      </c>
      <c r="J17" s="24" t="inlineStr"/>
    </row>
    <row r="18">
      <c r="A18" s="22" t="inlineStr">
        <is>
          <t>Q17</t>
        </is>
      </c>
      <c r="B18" s="22" t="inlineStr">
        <is>
          <t>Giá vốn &amp; chi phí</t>
        </is>
      </c>
      <c r="C18" s="22" t="inlineStr">
        <is>
          <t>Giá gốc điện/nước import theo tháng ghi trên hóa đơn nhà cung cấp (EVN, nước) hay theo kỳ chốt số ngày 22?</t>
        </is>
      </c>
      <c r="D18" s="22" t="inlineStr">
        <is>
          <t>Lệch kỳ sẽ lệch lợi nhuận tháng.</t>
        </is>
      </c>
      <c r="E18" s="22" t="inlineStr">
        <is>
          <t>Theo tháng trên hóa đơn nhà cung cấp.</t>
        </is>
      </c>
      <c r="F18" s="23" t="inlineStr">
        <is>
          <t>Chờ xác nhận</t>
        </is>
      </c>
      <c r="G18" s="24" t="inlineStr"/>
      <c r="H18" s="24" t="inlineStr">
        <is>
          <t>[GIẢ ĐỊNH bên PT theo chuẩn kế toán &amp; thực tế DN – cần KH xác nhận] BC kinh doanh: ghi theo kỳ tiêu thụ trên hóa đơn nhà cung cấp (tháng của kỳ, không phải ngày trả tiền); BC dòng tiền: ghi theo ngày trả. Import chi phí có 2 trường: kỳ hạch toán và ngày thanh toán.</t>
        </is>
      </c>
      <c r="I18" s="24" t="inlineStr">
        <is>
          <t>KH 22/09 + Bên PT</t>
        </is>
      </c>
      <c r="J18" s="24" t="inlineStr"/>
    </row>
    <row r="19">
      <c r="A19" s="22" t="inlineStr">
        <is>
          <t>Q18</t>
        </is>
      </c>
      <c r="B19" s="22" t="inlineStr">
        <is>
          <t>Giá vốn &amp; chi phí</t>
        </is>
      </c>
      <c r="C19" s="22" t="inlineStr">
        <is>
          <t>Điện nước của phòng trống nằm trong giá gốc điện/nước của tòa hay ghi thành «chi phí khác»?</t>
        </is>
      </c>
      <c r="D19" s="22" t="inlineStr">
        <is>
          <t>Phân loại chi phí.</t>
        </is>
      </c>
      <c r="E19" s="22" t="inlineStr">
        <is>
          <t>Nằm trong giá gốc điện/nước của tòa.</t>
        </is>
      </c>
      <c r="F19" s="23" t="inlineStr">
        <is>
          <t>Chờ xác nhận</t>
        </is>
      </c>
      <c r="G19" s="24" t="inlineStr"/>
      <c r="H19" s="24" t="inlineStr">
        <is>
          <t>[Căn cứ file KH gửi 22/09] Sheet «ĐIỆN NƯỚC PHÒNG TRỐNG/KHÔNG THU ĐƯỢC» gồm cả phòng trống và phòng phá HĐ. [GIẢ ĐỊNH bên PT – cần KH xác nhận] Không tách dòng riêng: phần này đã nằm trong giá gốc điện/nước của tòa (tiền trả EVN); phần mềm chỉ thống kê riêng để theo dõi thất thoát (báo cáo «âm dương điện nước»).</t>
        </is>
      </c>
      <c r="I19" s="24" t="inlineStr">
        <is>
          <t>Bên PT (giả định)</t>
        </is>
      </c>
      <c r="J19" s="24" t="inlineStr"/>
    </row>
    <row r="20">
      <c r="A20" s="22" t="inlineStr">
        <is>
          <t>Q19</t>
        </is>
      </c>
      <c r="B20" s="22" t="inlineStr">
        <is>
          <t>Giá vốn &amp; chi phí</t>
        </is>
      </c>
      <c r="C20" s="22" t="inlineStr">
        <is>
          <t>Các chi phí marketing, giá gốc điện nước, thiết bị, sửa chữa, văn phòng… đều import vào mục Quản lý chi phí của phần mềm?</t>
        </is>
      </c>
      <c r="D20" s="22" t="inlineStr">
        <is>
          <t>Xác định nguồn số cho báo cáo.</t>
        </is>
      </c>
      <c r="E20" s="22" t="inlineStr">
        <is>
          <t>ĐÃ TRẢ LỜI: có, các chi phí này sẽ import vào mục quản lý chi phí để có dữ liệu làm báo cáo. (Riêng lương lấy từ bảng lương, không import lại.)</t>
        </is>
      </c>
      <c r="F20" s="25" t="inlineStr">
        <is>
          <t>Đã trả lời</t>
        </is>
      </c>
      <c r="G20" s="24" t="inlineStr"/>
      <c r="H20" s="24" t="inlineStr"/>
      <c r="I20" s="24" t="inlineStr"/>
      <c r="J20" s="24" t="inlineStr"/>
    </row>
    <row r="21">
      <c r="A21" s="22" t="inlineStr">
        <is>
          <t>Q20</t>
        </is>
      </c>
      <c r="B21" s="22" t="inlineStr">
        <is>
          <t>Giá vốn &amp; chi phí</t>
        </is>
      </c>
      <c r="C21" s="22" t="inlineStr">
        <is>
          <t>Số phòng dùng để chia chi phí chung (tháng 6 = 1.303 phòng) là tổng phòng đang quản lý (kể cả phòng trống) hay chỉ phòng đang có khách? Lấy tại thời điểm nào trong tháng?</t>
        </is>
      </c>
      <c r="D21" s="22" t="inlineStr">
        <is>
          <t>Công thức chia chi phí chung: (Tổng chi phí ÷ 1.303) × số phòng của tòa.</t>
        </is>
      </c>
      <c r="E21" s="22" t="inlineStr">
        <is>
          <t>Tổng phòng đang quản lý tại cuối tháng.</t>
        </is>
      </c>
      <c r="F21" s="23" t="inlineStr">
        <is>
          <t>Chờ xác nhận</t>
        </is>
      </c>
      <c r="G21" s="24" t="inlineStr"/>
      <c r="H21" s="24" t="inlineStr">
        <is>
          <t>[GIẢ ĐỊNH bên PT – cần KH xác nhận] Mẫu số = tổng số phòng đang quản lý toàn hệ thống tại ngày cuối tháng (kể cả phòng trống, không kể tòa đã trả chủ nhà). Tháng 6/2026 = 1.303 phòng. Phần mềm tính tự động từ master phòng và lưu snapshot theo kỳ.</t>
        </is>
      </c>
      <c r="I21" s="24" t="inlineStr">
        <is>
          <t>Bên PT (giả định)</t>
        </is>
      </c>
      <c r="J21" s="24" t="inlineStr"/>
    </row>
    <row r="22">
      <c r="A22" s="22" t="inlineStr">
        <is>
          <t>Q21</t>
        </is>
      </c>
      <c r="B22" s="22" t="inlineStr">
        <is>
          <t>Giá vốn &amp; chi phí</t>
        </is>
      </c>
      <c r="C22" s="22" t="inlineStr">
        <is>
          <t>Lương cơ bản + phụ cấp của quản lý tòa chia vào các tòa người đó quản lý, hay chia đều toàn hệ thống?</t>
        </is>
      </c>
      <c r="D22" s="22" t="inlineStr">
        <is>
          <t>Dòng «Lương quản lý» trên báo cáo tòa.</t>
        </is>
      </c>
      <c r="E22" s="22" t="inlineStr">
        <is>
          <t>Chưa rõ.</t>
        </is>
      </c>
      <c r="F22" s="23" t="inlineStr">
        <is>
          <t>Chờ xác nhận</t>
        </is>
      </c>
      <c r="G22" s="24" t="inlineStr"/>
      <c r="H22" s="24" t="inlineStr">
        <is>
          <t>[Căn cứ file KH gửi 22/09] G1 sheet THU CHI BAN ĐẦU: «Lương quản lý» tòa = 1.500.000 (số cố định theo tòa) tách khỏi «Lương hỗ trợ quản lý». [GIẢ ĐỊNH bên PT – cần KH xác nhận] Lương cơ bản + phụ cấp của quản lý tòa chia đều theo số phòng cho các tòa người đó phụ trách (không chia toàn hệ thống). Phần mềm lấy từ bảng lương đã khóa và phân bổ tự động.</t>
        </is>
      </c>
      <c r="I22" s="24" t="inlineStr">
        <is>
          <t>Bên PT (giả định)</t>
        </is>
      </c>
      <c r="J22" s="24" t="inlineStr"/>
    </row>
    <row r="23">
      <c r="A23" s="22" t="inlineStr">
        <is>
          <t>Q22</t>
        </is>
      </c>
      <c r="B23" s="22" t="inlineStr">
        <is>
          <t>Giá vốn &amp; chi phí</t>
        </is>
      </c>
      <c r="C23" s="22" t="inlineStr">
        <is>
          <t>Lương hiệu suất của quản lý tòa (số phòng × mức lương/phòng) ghi thẳng vào tòa đó, không chia?</t>
        </is>
      </c>
      <c r="D23" s="22" t="inlineStr">
        <is>
          <t>Dòng «Lương quản lý».</t>
        </is>
      </c>
      <c r="E23" s="22" t="inlineStr">
        <is>
          <t>Có – theo trả lời trước: lương cố định theo bảng lương, còn lương hiệu suất + doanh thu + hoa hồng tính riêng.</t>
        </is>
      </c>
      <c r="F23" s="23" t="inlineStr">
        <is>
          <t>Chờ xác nhận</t>
        </is>
      </c>
      <c r="G23" s="24" t="inlineStr"/>
      <c r="H23" s="24" t="inlineStr">
        <is>
          <t>[GIẢ ĐỊNH bên PT – cần KH xác nhận] Có: lương hiệu suất (số phòng × mức lương/phòng) tính riêng từng tòa nên ghi thẳng vào tòa đó, không phân bổ. Dòng «Lương quản lý» trên báo cáo tòa = lương hiệu suất của tòa + phần lương cố định phân bổ (Q21).</t>
        </is>
      </c>
      <c r="I23" s="24" t="inlineStr">
        <is>
          <t>Bên PT (giả định)</t>
        </is>
      </c>
      <c r="J23" s="24" t="inlineStr"/>
    </row>
    <row r="24">
      <c r="A24" s="22" t="inlineStr">
        <is>
          <t>Q23</t>
        </is>
      </c>
      <c r="B24" s="22" t="inlineStr">
        <is>
          <t>Giá vốn &amp; chi phí</t>
        </is>
      </c>
      <c r="C24" s="22" t="inlineStr">
        <is>
          <t>Các con số trong công thức chia chi phí: 12 triệu (quản lý tổng), 21 triệu (TPVH), 3 triệu (NV nguồn), 2 triệu (kế toán), 22 triệu (sửa chữa) là cố định hàng tháng hay lấy từ bảng lương thực tế?</t>
        </is>
      </c>
      <c r="D24" s="22" t="inlineStr">
        <is>
          <t>Công thức trong file G1 đang ghi số cứng.</t>
        </is>
      </c>
      <c r="E24" s="22" t="inlineStr">
        <is>
          <t>Chưa rõ.</t>
        </is>
      </c>
      <c r="F24" s="25" t="inlineStr">
        <is>
          <t>Đã trả lời</t>
        </is>
      </c>
      <c r="G24" s="24" t="inlineStr"/>
      <c r="H24" s="24" t="inlineStr">
        <is>
          <t>[KH trả lời 22/09/2026] Lương cố định các mức đó theo từng level (chức danh/bậc); còn lương khác tính theo hiệu suất, cổ phần và các phần đã mô tả trong bảng lương.
[GIẢ ĐỊNH bên PT theo chuẩn kế toán &amp; thực tế DN – cần KH xác nhận] Phần mềm khai báo «Bảng lương cố định theo level» (lương cơ bản, phụ cấp, khoán) có hiệu lực theo ngày; báo cáo tòa lấy tổng lương cố định theo chức danh của tháng để phân bổ theo số phòng. Phần «cổ phần» của nhân viên là lợi nhuận được chia qua module Cổ đông (nhân viên đồng thời là cổ đông tòa), không đưa vào chi phí lương để tránh tính 2 lần; phiếu lương chỉ hiển thị tham chiếu.</t>
        </is>
      </c>
      <c r="I24" s="24" t="inlineStr">
        <is>
          <t>KH 22/09 + Bên PT</t>
        </is>
      </c>
      <c r="J24" s="24" t="inlineStr"/>
    </row>
    <row r="25">
      <c r="A25" s="22" t="inlineStr">
        <is>
          <t>Q24</t>
        </is>
      </c>
      <c r="B25" s="22" t="inlineStr">
        <is>
          <t>Giá vốn &amp; chi phí</t>
        </is>
      </c>
      <c r="C25" s="22" t="inlineStr">
        <is>
          <t>Lương vệ sinh 550.000đ/tòa: cố định mọi tòa hay tùy tòa (theo diện tích, số phòng)?</t>
        </is>
      </c>
      <c r="D25" s="22" t="inlineStr">
        <is>
          <t>Dòng «Lương vệ sinh».</t>
        </is>
      </c>
      <c r="E25" s="22" t="inlineStr">
        <is>
          <t>Chưa rõ.</t>
        </is>
      </c>
      <c r="F25" s="23" t="inlineStr">
        <is>
          <t>Chờ xác nhận</t>
        </is>
      </c>
      <c r="G25" s="24" t="inlineStr"/>
      <c r="H25" s="24" t="inlineStr">
        <is>
          <t>[Căn cứ file KH gửi 22/09] G1 THU CHI BAN ĐẦU cũng ghi lương vệ sinh 550.000/tháng. [GIẢ ĐỊNH bên PT – cần KH xác nhận] Cố định 550.000đ/tòa/tháng (khoán vệ sinh khu vực chung) áp cho mọi tòa; tòa lớn có thể cấu hình mức khác. Nhập trong bảng lương/khoán, không import chi phí.</t>
        </is>
      </c>
      <c r="I25" s="24" t="inlineStr">
        <is>
          <t>Bên PT (giả định)</t>
        </is>
      </c>
      <c r="J25" s="24" t="inlineStr"/>
    </row>
    <row r="26">
      <c r="A26" s="22" t="inlineStr">
        <is>
          <t>Q25</t>
        </is>
      </c>
      <c r="B26" s="22" t="inlineStr">
        <is>
          <t>Giá vốn &amp; chi phí</t>
        </is>
      </c>
      <c r="C26" s="22" t="inlineStr">
        <is>
          <t>Hoa hồng ghi vào chi phí của tháng nào: tháng khách «đủ», tháng ký hợp đồng, hay tháng trả tiền hoa hồng?</t>
        </is>
      </c>
      <c r="D26" s="22" t="inlineStr">
        <is>
          <t>Dòng hoa hồng trên báo cáo.</t>
        </is>
      </c>
      <c r="E26" s="22" t="inlineStr">
        <is>
          <t>Tháng trả tiền hoa hồng.</t>
        </is>
      </c>
      <c r="F26" s="25" t="inlineStr">
        <is>
          <t>Đã trả lời</t>
        </is>
      </c>
      <c r="G26" s="24" t="inlineStr"/>
      <c r="H26" s="24" t="inlineStr">
        <is>
          <t>[KH trả lời 06/09/2026] (câu 19) Hoa hồng chi trả ngay sau khi khách đóng đủ cọc 1 và ký HĐ → ghi nhận chi phí vào tháng khách đủ điều kiện / trả hoa hồng.</t>
        </is>
      </c>
      <c r="I26" s="24" t="inlineStr">
        <is>
          <t>KH</t>
        </is>
      </c>
      <c r="J26" s="24" t="inlineStr"/>
    </row>
    <row r="27">
      <c r="A27" s="22" t="inlineStr">
        <is>
          <t>Q26</t>
        </is>
      </c>
      <c r="B27" s="22" t="inlineStr">
        <is>
          <t>Giá vốn &amp; chi phí</t>
        </is>
      </c>
      <c r="C27" s="22" t="inlineStr">
        <is>
          <t>Sửa chữa do khách làm hỏng và đã trừ vào cọc của khách: có ghi thêm vào chi phí sửa chữa nữa không?</t>
        </is>
      </c>
      <c r="D27" s="22" t="inlineStr">
        <is>
          <t>Tránh tính 2 lần.</t>
        </is>
      </c>
      <c r="E27" s="22" t="inlineStr">
        <is>
          <t>Chưa rõ.</t>
        </is>
      </c>
      <c r="F27" s="23" t="inlineStr">
        <is>
          <t>Chờ xác nhận</t>
        </is>
      </c>
      <c r="G27" s="24" t="inlineStr"/>
      <c r="H27" s="24" t="inlineStr">
        <is>
          <t>[GIẢ ĐỊNH bên PT theo chuẩn kế toán &amp; thực tế DN – cần KH xác nhận] Chi phí sửa chữa thực trả thợ ghi đủ ở «Sửa chữa, thay thế, bảo trì»; khoản khấu trừ cọc của khách (sửa chữa, vệ sinh, sơn, khấu hao 200k) ghi «Thu nhập khác – khấu trừ cọc». Báo cáo hiển thị cả 2 dòng, không bù trừ (đúng nguyên tắc không bù trừ doanh thu – chi phí); có chỉ số phụ «chi phí sửa chữa ròng» để quản trị.</t>
        </is>
      </c>
      <c r="I27" s="24" t="inlineStr">
        <is>
          <t>KH 22/09 + Bên PT</t>
        </is>
      </c>
      <c r="J27" s="24" t="inlineStr"/>
    </row>
    <row r="28">
      <c r="A28" s="22" t="inlineStr">
        <is>
          <t>Q27</t>
        </is>
      </c>
      <c r="B28" s="22" t="inlineStr">
        <is>
          <t>Giá vốn &amp; chi phí</t>
        </is>
      </c>
      <c r="C28" s="22" t="inlineStr">
        <is>
          <t>«Chi phí khác» gồm những loại gì (công an tạm trú, biển xe, dọn phòng…)? Có cần chia nhỏ hơn trên báo cáo không?</t>
        </is>
      </c>
      <c r="D28" s="22" t="inlineStr">
        <is>
          <t>Danh mục chi phí.</t>
        </is>
      </c>
      <c r="E28" s="22" t="inlineStr">
        <is>
          <t>Chưa rõ.</t>
        </is>
      </c>
      <c r="F28" s="23" t="inlineStr">
        <is>
          <t>Chờ xác nhận</t>
        </is>
      </c>
      <c r="G28" s="24" t="inlineStr"/>
      <c r="H28" s="24" t="inlineStr">
        <is>
          <t>[Căn cứ file KH gửi 22/09] File G1: chi phí khác gồm dọn vệ sinh phòng, sơn điểm, công an tạm trú, biển khóa xe. [GIẢ ĐỊNH bên PT – cần KH xác nhận] Danh mục con đề xuất: hành chính/pháp lý (tạm trú, giấy phép), vật tư nhỏ, dọn/sơn phòng, phí ngân hàng, khác. Báo cáo vẫn hiển thị 1 dòng «Chi phí khác», drill-down xem theo danh mục con.</t>
        </is>
      </c>
      <c r="I28" s="24" t="inlineStr">
        <is>
          <t>Bên PT (giả định)</t>
        </is>
      </c>
      <c r="J28" s="24" t="inlineStr"/>
    </row>
    <row r="29">
      <c r="A29" s="22" t="inlineStr">
        <is>
          <t>Q28</t>
        </is>
      </c>
      <c r="B29" s="22" t="inlineStr">
        <is>
          <t>Giá vốn &amp; chi phí</t>
        </is>
      </c>
      <c r="C29" s="22" t="inlineStr">
        <is>
          <t>Chi phí văn phòng và marketing: có tách riêng theo nhóm T/S/G không, hay là 1 số chung rồi chia theo số phòng?</t>
        </is>
      </c>
      <c r="D29" s="22" t="inlineStr">
        <is>
          <t>Báo cáo tổng có cột T/S/G.</t>
        </is>
      </c>
      <c r="E29" s="22" t="inlineStr">
        <is>
          <t>1 số chung toàn hệ thống, chia theo số phòng.</t>
        </is>
      </c>
      <c r="F29" s="23" t="inlineStr">
        <is>
          <t>Chờ xác nhận</t>
        </is>
      </c>
      <c r="G29" s="24" t="inlineStr"/>
      <c r="H29" s="24" t="inlineStr">
        <is>
          <t>[GIẢ ĐỊNH bên PT – cần KH xác nhận] 1 số chung toàn hệ thống (từ file chi phí văn phòng), phân bổ theo số phòng xuống từng tòa; báo cáo tổng cộng lại theo nhóm T/S/G. Nếu có chiến dịch marketing riêng cho 1 tòa thì import gắn thẳng tòa đó.</t>
        </is>
      </c>
      <c r="I29" s="24" t="inlineStr">
        <is>
          <t>Bên PT (giả định)</t>
        </is>
      </c>
      <c r="J29" s="24" t="inlineStr"/>
    </row>
    <row r="30">
      <c r="A30" s="22" t="inlineStr">
        <is>
          <t>Q29</t>
        </is>
      </c>
      <c r="B30" s="22" t="inlineStr">
        <is>
          <t>Lương &amp; hiệu suất</t>
        </is>
      </c>
      <c r="C30" s="22" t="inlineStr">
        <is>
          <t>Công thức «Tổng DT thu được» = (Thu mốc 1 + mốc 2 + mốc 3) × (1 − Dịch vụ ÷ DT phải thu) + DT thu thêm — có đúng không?</t>
        </is>
      </c>
      <c r="D30" s="22" t="inlineStr">
        <is>
          <t>Là công thức lõi để tính hiệu suất và lương; sheet Bảng lương không còn công thức nên bên phát triển phải suy từ số liệu.</t>
        </is>
      </c>
      <c r="E30" s="22" t="inlineStr">
        <is>
          <t>Suy từ số liệu tháng 8, khớp toàn bộ các dòng.</t>
        </is>
      </c>
      <c r="F30" s="25" t="inlineStr">
        <is>
          <t>Đã trả lời</t>
        </is>
      </c>
      <c r="G30" s="24" t="inlineStr"/>
      <c r="H30" s="24" t="inlineStr">
        <is>
          <t>[Đối chiếu công thức file nguồn KH gửi 22/09/2026] Bảng lương tháng 8 (file gốc còn công thức): T = P − P×R + S, tức Tổng DT thu được = Tổng 3 mốc × (1 − Dịch vụ/DT phải thu) + DT thu thêm. Đúng như suy luận.</t>
        </is>
      </c>
      <c r="I30" s="24" t="inlineStr">
        <is>
          <t>Đối chiếu file</t>
        </is>
      </c>
      <c r="J30" s="24" t="inlineStr"/>
    </row>
    <row r="31">
      <c r="A31" s="22" t="inlineStr">
        <is>
          <t>Q30</t>
        </is>
      </c>
      <c r="B31" s="22" t="inlineStr">
        <is>
          <t>Lương &amp; hiệu suất</t>
        </is>
      </c>
      <c r="C31" s="22" t="inlineStr">
        <is>
          <t>Xin bảng mức lương/phòng chính thức theo hiệu suất (ví dụ: ≥95% → 130.000; 90–95% → ?; &lt;90% → ?).</t>
        </is>
      </c>
      <c r="D31" s="22" t="inlineStr">
        <is>
          <t>Phần mềm không được đoán công thức lương.</t>
        </is>
      </c>
      <c r="E31" s="22" t="inlineStr">
        <is>
          <t>Suy đoán: 130.000 hoặc 120.000 × hiệu suất; giảm thêm khi hiệu suất &lt; 95%.</t>
        </is>
      </c>
      <c r="F31" s="25" t="inlineStr">
        <is>
          <t>Đã trả lời</t>
        </is>
      </c>
      <c r="G31" s="24" t="inlineStr"/>
      <c r="H31" s="24" t="inlineStr">
        <is>
          <t>[KH trả lời 22/09/2026] Các mức đơn giá/phòng là cố định theo từng level (bậc hiệu suất).
[GIẢ ĐỊNH bên PT theo chuẩn kế toán &amp; thực tế DN – cần KH xác nhận] Bảng bậc đề xuất từ số liệu tháng 8: HS ≥ 98% → 130.000/100; 95–&lt;98% → 120.000/95; 93–&lt;95% → 119.000/95; 91–&lt;93% → 110.000/90; 88–&lt;91% → 109.000/90; 75–&lt;88% → 75.000/75; &lt; 75% → 0; tòa mới → 100.000 cố định. Mức lương/phòng = HS × đơn giá ÷ ngưỡng. Lưu quy tắc có phiên bản; KH chỉ cần xác nhận ranh giới % giữa các bậc.</t>
        </is>
      </c>
      <c r="I31" s="24" t="inlineStr">
        <is>
          <t>KH 22/09 + Bên PT</t>
        </is>
      </c>
      <c r="J31" s="24" t="inlineStr"/>
    </row>
    <row r="32">
      <c r="A32" s="22" t="inlineStr">
        <is>
          <t>Q31</t>
        </is>
      </c>
      <c r="B32" s="22" t="inlineStr">
        <is>
          <t>Lương &amp; hiệu suất</t>
        </is>
      </c>
      <c r="C32" s="22" t="inlineStr">
        <is>
          <t>Vì sao có nhân viên đơn giá 130.000đ/phòng (Huyền, Linh, Khải, Trường, Lâm, Kiên, Hương) và có người 120.000đ/phòng (Phương, Thủy, Nụ, Giang, Tú)? Tiêu chí xếp bậc?</t>
        </is>
      </c>
      <c r="D32" s="22" t="inlineStr">
        <is>
          <t>Cấu hình bậc nhân viên.</t>
        </is>
      </c>
      <c r="E32" s="22" t="inlineStr">
        <is>
          <t>Chưa rõ (thâm niên?).</t>
        </is>
      </c>
      <c r="F32" s="25" t="inlineStr">
        <is>
          <t>Đã trả lời</t>
        </is>
      </c>
      <c r="G32" s="24" t="inlineStr"/>
      <c r="H32" s="24" t="inlineStr">
        <is>
          <t>[KH trả lời 22/09/2026] Mức cố định theo level, không theo nhân viên.
[GIẢ ĐỊNH bên PT theo chuẩn kế toán &amp; thực tế DN – cần KH xác nhận] Không có hệ số thâm niên; đơn giá chỉ phụ thuộc bậc hiệu suất của từng tòa trong tháng.</t>
        </is>
      </c>
      <c r="I32" s="24" t="inlineStr">
        <is>
          <t>KH 22/09 + Bên PT</t>
        </is>
      </c>
      <c r="J32" s="24" t="inlineStr"/>
    </row>
    <row r="33">
      <c r="A33" s="22" t="inlineStr">
        <is>
          <t>Q32</t>
        </is>
      </c>
      <c r="B33" s="22" t="inlineStr">
        <is>
          <t>Lương &amp; hiệu suất</t>
        </is>
      </c>
      <c r="C33" s="22" t="inlineStr">
        <is>
          <t>Tòa mới (G13, G12A, G14) đang áp 100.000đ/phòng cố định: áp đến khi nào thì chuyển sang tính theo hiệu suất?</t>
        </is>
      </c>
      <c r="D33" s="22" t="inlineStr">
        <is>
          <t>Quy tắc tòa mới.</t>
        </is>
      </c>
      <c r="E33" s="22" t="inlineStr">
        <is>
          <t>Chưa rõ.</t>
        </is>
      </c>
      <c r="F33" s="23" t="inlineStr">
        <is>
          <t>Chờ xác nhận</t>
        </is>
      </c>
      <c r="G33" s="24" t="inlineStr"/>
      <c r="H33" s="24" t="inlineStr">
        <is>
          <t>[GIẢ ĐỊNH bên PT – cần KH xác nhận] Áp 100.000đ/phòng cố định cho tòa trong 2 tháng đầu vận hành (tháng nhận tòa và tháng kế tiếp) hoặc đến khi tỷ lệ lấp đầy ≥ 70%, tùy điều kiện nào đến trước; sau đó tính theo hiệu suất.</t>
        </is>
      </c>
      <c r="I33" s="24" t="inlineStr">
        <is>
          <t>Bên PT (giả định)</t>
        </is>
      </c>
      <c r="J33" s="24" t="inlineStr"/>
    </row>
    <row r="34">
      <c r="A34" s="22" t="inlineStr">
        <is>
          <t>Q33</t>
        </is>
      </c>
      <c r="B34" s="22" t="inlineStr">
        <is>
          <t>Lương &amp; hiệu suất</t>
        </is>
      </c>
      <c r="C34" s="22" t="inlineStr">
        <is>
          <t>Thu tiền sớm (mốc 1 – ngày 5) có được hệ số/thưởng cao hơn thu muộn (mốc 3 – ngày 15) không?</t>
        </is>
      </c>
      <c r="D34" s="22" t="inlineStr">
        <is>
          <t>Cách tính hiệu suất.</t>
        </is>
      </c>
      <c r="E34" s="22" t="inlineStr">
        <is>
          <t>Không – 3 mốc cộng thẳng, chỉ dùng để theo dõi tiến độ.</t>
        </is>
      </c>
      <c r="F34" s="25" t="inlineStr">
        <is>
          <t>Đã trả lời</t>
        </is>
      </c>
      <c r="G34" s="24" t="inlineStr"/>
      <c r="H34" s="24" t="inlineStr">
        <is>
          <t>[KH trả lời 22/09/2026] Đúng: mốc 1 = 100%, mốc 2 = 90%, mốc 3 = 70% (công thức sheet cập nhật thu tiền). [GIẢ ĐỊNH bên PT theo chuẩn kế toán &amp; thực tế DN – cần KH xác nhận] Trọng số là tham số cấu hình theo phiên bản quy tắc lương.</t>
        </is>
      </c>
      <c r="I34" s="24" t="inlineStr">
        <is>
          <t>KH 22/09 + Bên PT</t>
        </is>
      </c>
      <c r="J34" s="24" t="inlineStr"/>
    </row>
    <row r="35">
      <c r="A35" s="22" t="inlineStr">
        <is>
          <t>Q34</t>
        </is>
      </c>
      <c r="B35" s="22" t="inlineStr">
        <is>
          <t>Lương &amp; hiệu suất</t>
        </is>
      </c>
      <c r="C35" s="22" t="inlineStr">
        <is>
          <t>«DT thu thêm» trong bảng lương là gì? Chốt đến ngày nào?</t>
        </is>
      </c>
      <c r="D35" s="22" t="inlineStr">
        <is>
          <t>Cột bảng lương.</t>
        </is>
      </c>
      <c r="E35" s="22" t="inlineStr">
        <is>
          <t>Tiền thu sau mốc 3 đến ngày chốt lương, hoặc thu được nợ cũ.</t>
        </is>
      </c>
      <c r="F35" s="25" t="inlineStr">
        <is>
          <t>Đã trả lời</t>
        </is>
      </c>
      <c r="G35" s="24" t="inlineStr"/>
      <c r="H35" s="24" t="inlineStr">
        <is>
          <t>[Căn cứ file KH gửi 22/09] Bảng lương tháng 8: DT thu thêm = tiền phòng khách mới vào giữa tháng tính theo ngày (VD 3.150.000/31 × 10 = 1.016.129; S37: 4.700.000 + 2.000.000). [GIẢ ĐỊNH bên PT – cần KH xác nhận] DT thu thêm = doanh thu phòng mới phát sinh sau ngày chốt hóa đơn (không nằm trong DT phải thu đầu kỳ) mà quản lý đã thu được; không áp trọng số mốc; chốt cùng ngày chốt bảng lương.</t>
        </is>
      </c>
      <c r="I35" s="24" t="inlineStr">
        <is>
          <t>Bên PT (giả định)</t>
        </is>
      </c>
      <c r="J35" s="24" t="inlineStr"/>
    </row>
    <row r="36">
      <c r="A36" s="22" t="inlineStr">
        <is>
          <t>Q35</t>
        </is>
      </c>
      <c r="B36" s="22" t="inlineStr">
        <is>
          <t>Lương &amp; hiệu suất</t>
        </is>
      </c>
      <c r="C36" s="22" t="inlineStr">
        <is>
          <t>Ngày chốt bảng lương hàng tháng là ngày nào? Tiền thu sau ngày chốt tính vào kỳ sau?</t>
        </is>
      </c>
      <c r="D36" s="22" t="inlineStr">
        <is>
          <t>Chốt số liệu lương.</t>
        </is>
      </c>
      <c r="E36" s="22" t="inlineStr">
        <is>
          <t>Chưa rõ.</t>
        </is>
      </c>
      <c r="F36" s="23" t="inlineStr">
        <is>
          <t>Chờ xác nhận</t>
        </is>
      </c>
      <c r="G36" s="24" t="inlineStr"/>
      <c r="H36" s="24" t="inlineStr">
        <is>
          <t>[KH trả lời 06/09/2026] (câu 22) «Hiệu suất thực tế» = sau khi đã thu tiền xong; «Hiệu suất tạm tính» = tính đến thời điểm xem. Ngày chốt bảng lương vẫn chưa rõ.
[GIẢ ĐỊNH bên PT – cần KH xác nhận] Chốt bảng lương ngày 16 hàng tháng (sau mốc 3 ngày 15; file «cập nhật thu tiền ngày 16/9» cho thấy thực tế). Tiền thu sau ngày chốt tính vào tỷ lệ thu (công nợ) nhưng không tính hiệu suất lương tháng đó. «Hiệu suất tạm tính» hiển thị liên tục đến ngày chốt; «hiệu suất thực tế» = số sau chốt.</t>
        </is>
      </c>
      <c r="I36" s="24" t="inlineStr">
        <is>
          <t>KH + Bên PT (giả định)</t>
        </is>
      </c>
      <c r="J36" s="24" t="inlineStr"/>
    </row>
    <row r="37">
      <c r="A37" s="22" t="inlineStr">
        <is>
          <t>Q36</t>
        </is>
      </c>
      <c r="B37" s="22" t="inlineStr">
        <is>
          <t>Lương &amp; hiệu suất</t>
        </is>
      </c>
      <c r="C37" s="22" t="inlineStr">
        <is>
          <t>Nợ của phòng phá hợp đồng thu hồi được ở tháng sau: tính hiệu suất cho ai, vào tháng nào?</t>
        </is>
      </c>
      <c r="D37" s="22" t="inlineStr">
        <is>
          <t>Hiệu suất thu tiền.</t>
        </is>
      </c>
      <c r="E37" s="22" t="inlineStr">
        <is>
          <t>Chưa rõ.</t>
        </is>
      </c>
      <c r="F37" s="25" t="inlineStr">
        <is>
          <t>Đã trả lời</t>
        </is>
      </c>
      <c r="G37" s="24" t="inlineStr"/>
      <c r="H37" s="24" t="inlineStr">
        <is>
          <t>[Căn cứ file KH gửi 22/09] Sheet cập nhật thu tiền: DT phải thu sau phá HĐ = DT phải thu − thực thu − (DT phá HĐ − DT phá HĐ thu được). [GIẢ ĐỊNH bên PT – cần KH xác nhận] Nợ phá HĐ thu hồi tháng sau ghi vào «DT phá HĐ thu được» của tháng thu, tính cho quản lý đang phụ trách tòa tại tháng thu; không hồi tố hiệu suất tháng cũ.</t>
        </is>
      </c>
      <c r="I37" s="24" t="inlineStr">
        <is>
          <t>Bên PT (giả định)</t>
        </is>
      </c>
      <c r="J37" s="24" t="inlineStr"/>
    </row>
    <row r="38">
      <c r="A38" s="22" t="inlineStr">
        <is>
          <t>Q37</t>
        </is>
      </c>
      <c r="B38" s="22" t="inlineStr">
        <is>
          <t>Lương &amp; hiệu suất</t>
        </is>
      </c>
      <c r="C38" s="22" t="inlineStr">
        <is>
          <t>Đổi quản lý tòa giữa tháng: hiệu suất và lương tháng đó chia cho 2 người thế nào?</t>
        </is>
      </c>
      <c r="D38" s="22" t="inlineStr">
        <is>
          <t>Phân công có ngày hiệu lực.</t>
        </is>
      </c>
      <c r="E38" s="22" t="inlineStr">
        <is>
          <t>Chưa rõ.</t>
        </is>
      </c>
      <c r="F38" s="23" t="inlineStr">
        <is>
          <t>Chờ xác nhận</t>
        </is>
      </c>
      <c r="G38" s="24" t="inlineStr"/>
      <c r="H38" s="24" t="inlineStr">
        <is>
          <t>[GIẢ ĐỊNH bên PT – cần KH xác nhận] Snapshot phân công tại ngày chốt lương: tòa tính hiệu suất cho người phụ trách chính tại ngày 15; nếu bàn giao trước ngày 15 thì người mới nhận toàn bộ tháng (mốc 1–3 gắn với tòa). Người cũ nhận «lương hỗ trợ» theo thỏa thuận nhập tay.</t>
        </is>
      </c>
      <c r="I38" s="24" t="inlineStr">
        <is>
          <t>Bên PT (giả định)</t>
        </is>
      </c>
      <c r="J38" s="24" t="inlineStr"/>
    </row>
    <row r="39">
      <c r="A39" s="22" t="inlineStr">
        <is>
          <t>Q38</t>
        </is>
      </c>
      <c r="B39" s="22" t="inlineStr">
        <is>
          <t>Lương &amp; hiệu suất</t>
        </is>
      </c>
      <c r="C39" s="22" t="inlineStr">
        <is>
          <t>Lương trưởng nhóm (TPVH 7,74 triệu; TNVH 4,08 triệu) và «Lương hỗ trợ»: cố định theo quyết định hay có công thức?</t>
        </is>
      </c>
      <c r="D39" s="22" t="inlineStr">
        <is>
          <t>Cấu phần bảng lương.</t>
        </is>
      </c>
      <c r="E39" s="22" t="inlineStr">
        <is>
          <t>Nhập tay theo quyết định hàng tháng.</t>
        </is>
      </c>
      <c r="F39" s="25" t="inlineStr">
        <is>
          <t>Đã trả lời</t>
        </is>
      </c>
      <c r="G39" s="24" t="inlineStr"/>
      <c r="H39" s="24" t="inlineStr">
        <is>
          <t>[Đối chiếu công thức file nguồn KH gửi 22/09/2026] Bảng lương gốc: Lương trưởng nhóm = 10.000đ × số phòng dưới quyền (TPVH: 774 phòng × 10.000 = 7.740.000; TNVH: 408 × 10.000 = 4.080.000). Lương hỗ trợ nhập tay.</t>
        </is>
      </c>
      <c r="I39" s="24" t="inlineStr">
        <is>
          <t>Đối chiếu file</t>
        </is>
      </c>
      <c r="J39" s="24" t="inlineStr"/>
    </row>
    <row r="40">
      <c r="A40" s="22" t="inlineStr">
        <is>
          <t>Q39</t>
        </is>
      </c>
      <c r="B40" s="22" t="inlineStr">
        <is>
          <t>Lương &amp; hiệu suất</t>
        </is>
      </c>
      <c r="C40" s="22" t="inlineStr">
        <is>
          <t>Có cần lưu ngày chi lương thực tế và tài khoản chi để làm báo cáo dòng tiền không?</t>
        </is>
      </c>
      <c r="D40" s="22" t="inlineStr">
        <is>
          <t>Phạm vi chức năng chi lương.</t>
        </is>
      </c>
      <c r="E40" s="22" t="inlineStr">
        <is>
          <t>Chưa rõ.</t>
        </is>
      </c>
      <c r="F40" s="23" t="inlineStr">
        <is>
          <t>Chờ xác nhận</t>
        </is>
      </c>
      <c r="G40" s="24" t="inlineStr"/>
      <c r="H40" s="24" t="inlineStr">
        <is>
          <t>[GIẢ ĐỊNH bên PT – cần KH xác nhận] Có: lưu ngày chi, tài khoản chi, số tiền thực chi (chức năng Chi lương). Báo cáo lợi nhuận dòng tiền dùng ngày chi; báo cáo kinh doanh dùng kỳ lương.</t>
        </is>
      </c>
      <c r="I40" s="24" t="inlineStr">
        <is>
          <t>Bên PT (giả định)</t>
        </is>
      </c>
      <c r="J40" s="24" t="inlineStr"/>
    </row>
    <row r="41">
      <c r="A41" s="22" t="inlineStr">
        <is>
          <t>Q40</t>
        </is>
      </c>
      <c r="B41" s="22" t="inlineStr">
        <is>
          <t>Hoa hồng</t>
        </is>
      </c>
      <c r="C41" s="22" t="inlineStr">
        <is>
          <t>Xin bảng mức hoa hồng chính thức theo nguồn khách: môi giới bên ngoài / lead nội bộ / nhân viên.</t>
        </is>
      </c>
      <c r="D41" s="22" t="inlineStr">
        <is>
          <t>Cấu hình chính sách hoa hồng.</t>
        </is>
      </c>
      <c r="E41" s="22" t="inlineStr">
        <is>
          <t>Đọc từ file: môi giới ngoài &amp; Lead 50% tháng tiền phòng; nhân viên 35%.</t>
        </is>
      </c>
      <c r="F41" s="23" t="inlineStr">
        <is>
          <t>Chờ xác nhận</t>
        </is>
      </c>
      <c r="G41" s="24" t="inlineStr"/>
      <c r="H41" s="24" t="inlineStr">
        <is>
          <t>[KH trả lời 06/09/2026] (câu 19) Hoa hồng tính theo phần trăm (không bậc thang). [File 'nội dung làm web' 31/08/2026] Nguồn khách: sale nội bộ / đối tác; kênh: FB, tờ rơi, đăng tin, Zalo. Bảng mức % theo nguồn vẫn cần KH chốt.
[GIẢ ĐỊNH bên PT – cần KH xác nhận] Bảng mức đề xuất (theo file hoa hồng 2025–2026): đối tác/môi giới ngoài 50% giá chốt; lead nội bộ 50%; nhân viên/sale nội bộ 35%; CTV hỗ trợ theo số tiền thỏa thuận, trừ vào phần người chốt. Khai báo theo «nguồn khách» trên deal; có thể sửa mức từng deal (có lý do).</t>
        </is>
      </c>
      <c r="I41" s="24" t="inlineStr">
        <is>
          <t>KH + Bên PT (giả định)</t>
        </is>
      </c>
      <c r="J41" s="24" t="inlineStr"/>
    </row>
    <row r="42">
      <c r="A42" s="22" t="inlineStr">
        <is>
          <t>Q41</t>
        </is>
      </c>
      <c r="B42" s="22" t="inlineStr">
        <is>
          <t>Hoa hồng</t>
        </is>
      </c>
      <c r="C42" s="22" t="inlineStr">
        <is>
          <t>Hợp đồng 6 tháng trong file lúc 50% lúc 35%: khác nhau do nguồn khách hay do thời hạn?</t>
        </is>
      </c>
      <c r="D42" s="22" t="inlineStr">
        <is>
          <t>Tránh áp sai mức.</t>
        </is>
      </c>
      <c r="E42" s="22" t="inlineStr">
        <is>
          <t>Do nguồn khách; thời hạn chỉ làm giảm khi &lt; 6 tháng (50% ÷ 6 × số tháng, VD 3 tháng → 25%).</t>
        </is>
      </c>
      <c r="F42" s="23" t="inlineStr">
        <is>
          <t>Chờ xác nhận</t>
        </is>
      </c>
      <c r="G42" s="24" t="inlineStr"/>
      <c r="H42" s="24" t="inlineStr">
        <is>
          <t>[GIẢ ĐỊNH bên PT – cần KH xác nhận] Theo nguồn khách, không theo thời hạn. Thời hạn chỉ giảm mức khi HĐ &lt; 6 tháng: mức = mức chuẩn ÷ 6 × số tháng (3 tháng → 25%, 2 tháng → 16,67%, 6 tháng → nguyên mức).</t>
        </is>
      </c>
      <c r="I42" s="24" t="inlineStr">
        <is>
          <t>Bên PT (giả định)</t>
        </is>
      </c>
      <c r="J42" s="24" t="inlineStr"/>
    </row>
    <row r="43">
      <c r="A43" s="22" t="inlineStr">
        <is>
          <t>Q42</t>
        </is>
      </c>
      <c r="B43" s="22" t="inlineStr">
        <is>
          <t>Hoa hồng</t>
        </is>
      </c>
      <c r="C43" s="22" t="inlineStr">
        <is>
          <t>Khi 2–3 nguồn cùng dẫn 1 khách (ghi «Trùng»): chia đều hay theo thỏa thuận? Ai xác nhận?</t>
        </is>
      </c>
      <c r="D43" s="22" t="inlineStr">
        <is>
          <t>Công thức file: 50% ÷ số nguồn.</t>
        </is>
      </c>
      <c r="E43" s="22" t="inlineStr">
        <is>
          <t>Chia đều 50% cho số nguồn.</t>
        </is>
      </c>
      <c r="F43" s="23" t="inlineStr">
        <is>
          <t>Chờ xác nhận</t>
        </is>
      </c>
      <c r="G43" s="24" t="inlineStr"/>
      <c r="H43" s="24" t="inlineStr">
        <is>
          <t>[GIẢ ĐỊNH bên PT – cần KH xác nhận] Chia đều mức chuẩn cho số nguồn cùng dẫn (2 nguồn → 25%/nguồn; 3 nguồn → 16,67%). Quản lý tòa đánh dấu «trùng» trên deal, TPVH/kế toán duyệt trước khi trả.</t>
        </is>
      </c>
      <c r="I43" s="24" t="inlineStr">
        <is>
          <t>Bên PT (giả định)</t>
        </is>
      </c>
      <c r="J43" s="24" t="inlineStr"/>
    </row>
    <row r="44">
      <c r="A44" s="22" t="inlineStr">
        <is>
          <t>Q43</t>
        </is>
      </c>
      <c r="B44" s="22" t="inlineStr">
        <is>
          <t>Hoa hồng</t>
        </is>
      </c>
      <c r="C44" s="22" t="inlineStr">
        <is>
          <t>Khách bỏ cọc: hoa hồng = 50% × (cọc − tiền nhà theo ngày đã ở) đúng không? Nếu đã trả hoa hồng rồi khách mới bỏ thì có thu hồi không?</t>
        </is>
      </c>
      <c r="D44" s="22" t="inlineStr">
        <is>
          <t>Công thức file: cọc − (giá ÷ 31 × ngày ở).</t>
        </is>
      </c>
      <c r="E44" s="22" t="inlineStr">
        <is>
          <t>Đúng; không thu hồi hoa hồng đã trả.</t>
        </is>
      </c>
      <c r="F44" s="23" t="inlineStr">
        <is>
          <t>Chờ xác nhận</t>
        </is>
      </c>
      <c r="G44" s="24" t="inlineStr"/>
      <c r="H44" s="24" t="inlineStr">
        <is>
          <t>[GIẢ ĐỊNH bên PT – cần KH xác nhận] Đúng: cơ sở = cọc bị mất − (giá thuê ÷ số ngày tháng × số ngày đã ở); hoa hồng = cơ sở × mức. Hoa hồng đã trả không thu hồi; nếu khách bỏ trước khi trả thì tính lại theo cơ sở bỏ cọc.</t>
        </is>
      </c>
      <c r="I44" s="24" t="inlineStr">
        <is>
          <t>Bên PT (giả định)</t>
        </is>
      </c>
      <c r="J44" s="24" t="inlineStr"/>
    </row>
    <row r="45">
      <c r="A45" s="22" t="inlineStr">
        <is>
          <t>Q44</t>
        </is>
      </c>
      <c r="B45" s="22" t="inlineStr">
        <is>
          <t>Hoa hồng</t>
        </is>
      </c>
      <c r="C45" s="22" t="inlineStr">
        <is>
          <t>Trả hoa hồng nhiều đợt (VD lần 1: 8%, lần 2: 42%): quy tắc chia đợt là gì?</t>
        </is>
      </c>
      <c r="D45" s="22" t="inlineStr">
        <is>
          <t>Ghi chú trong file tháng 9/2025.</t>
        </is>
      </c>
      <c r="E45" s="22" t="inlineStr">
        <is>
          <t>Chưa rõ.</t>
        </is>
      </c>
      <c r="F45" s="23" t="inlineStr">
        <is>
          <t>Chờ xác nhận</t>
        </is>
      </c>
      <c r="G45" s="24" t="inlineStr"/>
      <c r="H45" s="24" t="inlineStr">
        <is>
          <t>[Căn cứ file KH gửi 22/09] Ghi chú tháng 9/2025: «Tt 2 lần: lần 1 8%, lần 2 42%». [GIẢ ĐỊNH bên PT – cần KH xác nhận] Trả 2 đợt chỉ khi khách đóng cọc trước – ký HĐ sau: đợt 1 = 8% khi khách đóng đủ cọc, đợt 2 = phần còn lại khi ký HĐ và đóng đủ tháng đầu. Mặc định trả 1 lần (KH câu 19); rule 2 đợt là tùy chọn cấu hình.</t>
        </is>
      </c>
      <c r="I45" s="24" t="inlineStr">
        <is>
          <t>Bên PT (giả định)</t>
        </is>
      </c>
      <c r="J45" s="24" t="inlineStr"/>
    </row>
    <row r="46">
      <c r="A46" s="22" t="inlineStr">
        <is>
          <t>Q45</t>
        </is>
      </c>
      <c r="B46" s="22" t="inlineStr">
        <is>
          <t>Hoa hồng</t>
        </is>
      </c>
      <c r="C46" s="22" t="inlineStr">
        <is>
          <t>Điều kiện «đủ» để được trả hoa hồng là gì?</t>
        </is>
      </c>
      <c r="D46" s="22" t="inlineStr">
        <is>
          <t>Điều kiện chi trả.</t>
        </is>
      </c>
      <c r="E46" s="22" t="inlineStr">
        <is>
          <t>ĐÃ TRẢ LỜI: khách đã đóng đủ cọc và đã làm xong hợp đồng.</t>
        </is>
      </c>
      <c r="F46" s="25" t="inlineStr">
        <is>
          <t>Đã trả lời</t>
        </is>
      </c>
      <c r="G46" s="24" t="inlineStr"/>
      <c r="H46" s="24" t="inlineStr">
        <is>
          <t>[KH trả lời 06/09/2026] (câu 19) Hoa hồng chi trả ngay sau khi khách đóng đủ cọc 1 và ký hợp đồng — khớp câu trả lời trước.</t>
        </is>
      </c>
      <c r="I46" s="24" t="inlineStr">
        <is>
          <t>KH</t>
        </is>
      </c>
      <c r="J46" s="24" t="inlineStr"/>
    </row>
    <row r="47">
      <c r="A47" s="22" t="inlineStr">
        <is>
          <t>Q46</t>
        </is>
      </c>
      <c r="B47" s="22" t="inlineStr">
        <is>
          <t>Hoa hồng</t>
        </is>
      </c>
      <c r="C47" s="22" t="inlineStr">
        <is>
          <t>Khách gia hạn / tái ký hợp đồng có hoa hồng không?</t>
        </is>
      </c>
      <c r="D47" s="22" t="inlineStr">
        <is>
          <t>Chính sách.</t>
        </is>
      </c>
      <c r="E47" s="22" t="inlineStr">
        <is>
          <t>Chưa rõ.</t>
        </is>
      </c>
      <c r="F47" s="23" t="inlineStr">
        <is>
          <t>Chờ xác nhận</t>
        </is>
      </c>
      <c r="G47" s="24" t="inlineStr"/>
      <c r="H47" s="24" t="inlineStr">
        <is>
          <t>[GIẢ ĐỊNH bên PT – cần KH xác nhận] Không có hoa hồng khi gia hạn/tái ký cùng khách; chỉ có khi khách mới. (Nếu KH muốn thưởng giữ khách cho quản lý tòa thì đưa vào quy tắc lương, không phải hoa hồng.)</t>
        </is>
      </c>
      <c r="I47" s="24" t="inlineStr">
        <is>
          <t>Bên PT (giả định)</t>
        </is>
      </c>
      <c r="J47" s="24" t="inlineStr"/>
    </row>
    <row r="48">
      <c r="A48" s="22" t="inlineStr">
        <is>
          <t>Q47</t>
        </is>
      </c>
      <c r="B48" s="22" t="inlineStr">
        <is>
          <t>Hoa hồng</t>
        </is>
      </c>
      <c r="C48" s="22" t="inlineStr">
        <is>
          <t>Quản lý tòa (cột QLY trong file) có được hưởng % nào trên deal do môi giới ngoài dẫn không?</t>
        </is>
      </c>
      <c r="D48" s="22" t="inlineStr">
        <is>
          <t>Người nhận hoa hồng.</t>
        </is>
      </c>
      <c r="E48" s="22" t="inlineStr">
        <is>
          <t>Chưa rõ.</t>
        </is>
      </c>
      <c r="F48" s="23" t="inlineStr">
        <is>
          <t>Chờ xác nhận</t>
        </is>
      </c>
      <c r="G48" s="24" t="inlineStr"/>
      <c r="H48" s="24" t="inlineStr">
        <is>
          <t>[KH trả lời 06/09/2026] (câu 20) Hoa hồng chia theo cá nhân (tên sale), không theo team. Còn hỏi: quản lý tòa có được % khi khách do đối tác dẫn không?
[GIẢ ĐỊNH bên PT – cần KH xác nhận] Không: quản lý tòa (cột QLY) chỉ là người phụ trách phòng; hoa hồng thuộc cá nhân sale/đối tác ghi ở cột Team. Quản lý tòa chỉ nhận hoa hồng khi chính họ là nguồn khách (khai báo Team = tên họ).</t>
        </is>
      </c>
      <c r="I48" s="24" t="inlineStr">
        <is>
          <t>KH + Bên PT (giả định)</t>
        </is>
      </c>
      <c r="J48" s="24" t="inlineStr"/>
    </row>
    <row r="49">
      <c r="A49" s="22" t="inlineStr">
        <is>
          <t>Q48</t>
        </is>
      </c>
      <c r="B49" s="22" t="inlineStr">
        <is>
          <t>Hoa hồng</t>
        </is>
      </c>
      <c r="C49" s="22" t="inlineStr">
        <is>
          <t>Khách chốt phòng A rồi chuyển sang phòng B trước khi vào ở: hoa hồng tính theo giá phòng nào?</t>
        </is>
      </c>
      <c r="D49" s="22" t="inlineStr">
        <is>
          <t>Ghi chú trong file tháng 1/2026.</t>
        </is>
      </c>
      <c r="E49" s="22" t="inlineStr">
        <is>
          <t>Theo phòng chốt ban đầu.</t>
        </is>
      </c>
      <c r="F49" s="23" t="inlineStr">
        <is>
          <t>Chờ xác nhận</t>
        </is>
      </c>
      <c r="G49" s="24" t="inlineStr"/>
      <c r="H49" s="24" t="inlineStr">
        <is>
          <t>[GIẢ ĐỊNH bên PT – cần KH xác nhận] Theo phòng chốt ban đầu (giá chốt ban đầu), ghi chú phòng thực ở; nếu giá phòng mới cao hơn thì không tính thêm, thấp hơn thì không trừ.</t>
        </is>
      </c>
      <c r="I49" s="24" t="inlineStr">
        <is>
          <t>Bên PT (giả định)</t>
        </is>
      </c>
      <c r="J49" s="24" t="inlineStr"/>
    </row>
    <row r="50">
      <c r="A50" s="22" t="inlineStr">
        <is>
          <t>Q49</t>
        </is>
      </c>
      <c r="B50" s="22" t="inlineStr">
        <is>
          <t>Cổ đông</t>
        </is>
      </c>
      <c r="C50" s="22" t="inlineStr">
        <is>
          <t>«Vốn» trong bảng chia cổ phần = đúng 1 tháng tiền thuê nhà (48 triệu ở G1)? Chi phí cải tạo, thiết bị ban đầu có tính vào vốn góp không?</t>
        </is>
      </c>
      <c r="D50" s="22" t="inlineStr">
        <is>
          <t>Công thức file: Vốn = % × Tiền thuê nhà 1 tháng.</t>
        </is>
      </c>
      <c r="E50" s="22" t="inlineStr">
        <is>
          <t>Vốn = 1 tháng tiền thuê nhà; đầu tư ban đầu theo dõi riêng.</t>
        </is>
      </c>
      <c r="F50" s="23" t="inlineStr">
        <is>
          <t>Chờ xác nhận</t>
        </is>
      </c>
      <c r="G50" s="24" t="inlineStr"/>
      <c r="H50" s="24" t="inlineStr">
        <is>
          <t>[Căn cứ file KH] G1 THU CHI BAN ĐẦU: cổ đông «Đã đóng» = % × tổng chi ban đầu (tiền nhà kỳ đầu 128tr + cọc chủ nhà 48tr + môi giới 14,4tr + mạng…). [GIẢ ĐỊNH bên PT theo chuẩn kế toán &amp; thực tế DN – cần KH xác nhận] Module Cổ đông giữ «tài khoản vốn» từng cổ đông theo tòa: Đã góp lũy kế (các đợt đóng theo lịch tiền nhà và đầu tư ban đầu) − Đã rút/đã chia. Bảng cổ phần tháng vẫn trình bày «Vốn = % × tiền thuê 1 tháng» như hiện tại (giá trị 1 kỳ tiền nhà cổ đông phải đóng).</t>
        </is>
      </c>
      <c r="I50" s="24" t="inlineStr">
        <is>
          <t>KH 22/09 + Bên PT</t>
        </is>
      </c>
      <c r="J50" s="24" t="inlineStr"/>
    </row>
    <row r="51">
      <c r="A51" s="22" t="inlineStr">
        <is>
          <t>Q50</t>
        </is>
      </c>
      <c r="B51" s="22" t="inlineStr">
        <is>
          <t>Cổ đông</t>
        </is>
      </c>
      <c r="C51" s="22" t="inlineStr">
        <is>
          <t>«Tổng nhận = Vốn + Lợi nhuận ròng» là số chi thực cho cổ đông hàng tháng, hay chỉ để tham khảo? Chu kỳ chia lợi nhuận (tháng / quý)?</t>
        </is>
      </c>
      <c r="D51" s="22" t="inlineStr">
        <is>
          <t>Chi trả cho cổ đông.</t>
        </is>
      </c>
      <c r="E51" s="22" t="inlineStr">
        <is>
          <t>Chỉ tham khảo; chi thực = Lợi nhuận ròng × % cổ phần.</t>
        </is>
      </c>
      <c r="F51" s="23" t="inlineStr">
        <is>
          <t>Chờ xác nhận</t>
        </is>
      </c>
      <c r="G51" s="24" t="inlineStr"/>
      <c r="H51" s="24" t="inlineStr">
        <is>
          <t>[GIẢ ĐỊNH bên PT theo chuẩn kế toán &amp; thực tế DN – cần KH xác nhận] «Tổng nhận» chỉ để tham khảo. Phân phối thực: theo quý, sau khi BC kinh doanh quý được khóa; số chia = LN ròng lũy kế dương × % (sau khi bù lỗ các kỳ trước và trích lại quỹ dự phòng sửa chữa nếu KH muốn, mặc định 0%). Admin/kế toán duyệt, ghi phiếu chi cho từng cổ đông.</t>
        </is>
      </c>
      <c r="I51" s="24" t="inlineStr">
        <is>
          <t>KH 22/09 + Bên PT</t>
        </is>
      </c>
      <c r="J51" s="24" t="inlineStr"/>
    </row>
    <row r="52">
      <c r="A52" s="22" t="inlineStr">
        <is>
          <t>Q51</t>
        </is>
      </c>
      <c r="B52" s="22" t="inlineStr">
        <is>
          <t>Cổ đông</t>
        </is>
      </c>
      <c r="C52" s="22" t="inlineStr">
        <is>
          <t>Chia lợi nhuận theo lợi nhuận ròng của tháng, hay lũy kế (tháng lỗ thì bù trước rồi mới chia)?</t>
        </is>
      </c>
      <c r="D52" s="22" t="inlineStr">
        <is>
          <t>Quy tắc chia.</t>
        </is>
      </c>
      <c r="E52" s="22" t="inlineStr">
        <is>
          <t>Chưa rõ.</t>
        </is>
      </c>
      <c r="F52" s="23" t="inlineStr">
        <is>
          <t>Chờ xác nhận</t>
        </is>
      </c>
      <c r="G52" s="24" t="inlineStr"/>
      <c r="H52" s="24" t="inlineStr">
        <is>
          <t>[Căn cứ file KH] THU CHI BAN ĐẦU chia theo Thu − Chi lũy kế. [GIẢ ĐỊNH bên PT theo chuẩn kế toán &amp; thực tế DN – cần KH xác nhận] Lũy kế bù lỗ: lợi nhuận/lỗ tháng cộng dồn vào tài khoản cổ đông; chỉ phân phối phần lũy kế dương. Báo cáo tháng vẫn hiển thị LNR × % để theo dõi.</t>
        </is>
      </c>
      <c r="I52" s="24" t="inlineStr">
        <is>
          <t>KH 22/09 + Bên PT</t>
        </is>
      </c>
      <c r="J52" s="24" t="inlineStr"/>
    </row>
    <row r="53">
      <c r="A53" s="22" t="inlineStr">
        <is>
          <t>Q52</t>
        </is>
      </c>
      <c r="B53" s="22" t="inlineStr">
        <is>
          <t>Cổ đông</t>
        </is>
      </c>
      <c r="C53" s="22" t="inlineStr">
        <is>
          <t>Cổ đông vào / rút giữa tháng: tính theo tỷ lệ tại cuối tháng hay theo số ngày?</t>
        </is>
      </c>
      <c r="D53" s="22" t="inlineStr">
        <is>
          <t>Quy tắc chia.</t>
        </is>
      </c>
      <c r="E53" s="22" t="inlineStr">
        <is>
          <t>Theo tỷ lệ tại cuối tháng.</t>
        </is>
      </c>
      <c r="F53" s="23" t="inlineStr">
        <is>
          <t>Chờ xác nhận</t>
        </is>
      </c>
      <c r="G53" s="24" t="inlineStr"/>
      <c r="H53" s="24" t="inlineStr">
        <is>
          <t>[KH trả lời 06/09/2026] (câu 30) Tỷ lệ cổ phần nhập tay. Cách xử lý vào/rút giữa tháng vẫn cần xác nhận.
[GIẢ ĐỊNH bên PT – cần KH xác nhận] Theo tỷ lệ có hiệu lực tại ngày cuối tháng; không prorate theo ngày. Khi thay đổi tỷ lệ giữa tháng, hệ thống yêu cầu ngày hiệu lực = ngày 1 tháng kế tiếp (trừ khi admin ghi đè có lý do).</t>
        </is>
      </c>
      <c r="I53" s="24" t="inlineStr">
        <is>
          <t>KH + Bên PT (giả định)</t>
        </is>
      </c>
      <c r="J53" s="24" t="inlineStr"/>
    </row>
    <row r="54">
      <c r="A54" s="22" t="inlineStr">
        <is>
          <t>Q53</t>
        </is>
      </c>
      <c r="B54" s="22" t="inlineStr">
        <is>
          <t>Cổ đông</t>
        </is>
      </c>
      <c r="C54" s="22" t="inlineStr">
        <is>
          <t>Khi tòa lỗ hoặc cần mua thiết bị lớn, cổ đông có góp thêm không? Quy tắc?</t>
        </is>
      </c>
      <c r="D54" s="22" t="inlineStr">
        <is>
          <t>Chức năng góp vốn.</t>
        </is>
      </c>
      <c r="E54" s="22" t="inlineStr">
        <is>
          <t>Chưa rõ.</t>
        </is>
      </c>
      <c r="F54" s="25" t="inlineStr">
        <is>
          <t>Đã trả lời</t>
        </is>
      </c>
      <c r="G54" s="24" t="inlineStr"/>
      <c r="H54" s="24" t="inlineStr">
        <is>
          <t>[KH trả lời 06/09/2026] (câu 29) Cổ đông góp theo lịch đóng tiền nhà định kỳ cho chủ nhà (3/4/6 tháng) theo % góp vốn → hệ thống cần «lịch đóng tiền từng người» + nhắc hạn.</t>
        </is>
      </c>
      <c r="I54" s="24" t="inlineStr">
        <is>
          <t>KH</t>
        </is>
      </c>
      <c r="J54" s="24" t="inlineStr"/>
    </row>
    <row r="55">
      <c r="A55" s="22" t="inlineStr">
        <is>
          <t>Q54</t>
        </is>
      </c>
      <c r="B55" s="22" t="inlineStr">
        <is>
          <t>Cổ đông</t>
        </is>
      </c>
      <c r="C55" s="22" t="inlineStr">
        <is>
          <t>Có cổ đông cấp công ty (chia theo báo cáo tổng) hay chỉ có cổ đông theo từng tòa?</t>
        </is>
      </c>
      <c r="D55" s="22" t="inlineStr">
        <is>
          <t>Phạm vi chức năng.</t>
        </is>
      </c>
      <c r="E55" s="22" t="inlineStr">
        <is>
          <t>Chưa rõ.</t>
        </is>
      </c>
      <c r="F55" s="23" t="inlineStr">
        <is>
          <t>Chờ xác nhận</t>
        </is>
      </c>
      <c r="G55" s="24" t="inlineStr"/>
      <c r="H55" s="24" t="inlineStr">
        <is>
          <t>[GIẢ ĐỊNH bên PT – cần KH xác nhận] Chỉ có cổ đông theo từng tòa (đúng mô hình «chia cổ phần các nhà»). Báo cáo tổng chỉ cộng phần của mỗi cổ đông trên các tòa họ tham gia; không có tỷ lệ cấp công ty.</t>
        </is>
      </c>
      <c r="I55" s="24" t="inlineStr">
        <is>
          <t>Bên PT (giả định)</t>
        </is>
      </c>
      <c r="J55" s="24" t="inlineStr"/>
    </row>
    <row r="56">
      <c r="A56" s="22" t="inlineStr">
        <is>
          <t>Q55</t>
        </is>
      </c>
      <c r="B56" s="22" t="inlineStr">
        <is>
          <t>Vận hành &amp; tổ chức</t>
        </is>
      </c>
      <c r="C56" s="22" t="inlineStr">
        <is>
          <t>Ngày chốt số điện nước (ngày 22) có giống mọi tòa? Ai nhập chỉ số?</t>
        </is>
      </c>
      <c r="D56" s="22" t="inlineStr">
        <is>
          <t>Kỳ hóa đơn.</t>
        </is>
      </c>
      <c r="E56" s="22" t="inlineStr">
        <is>
          <t>Giống mọi tòa; quản lý tòa nhập.</t>
        </is>
      </c>
      <c r="F56" s="23" t="inlineStr">
        <is>
          <t>Chờ xác nhận</t>
        </is>
      </c>
      <c r="G56" s="24" t="inlineStr"/>
      <c r="H56" s="24" t="inlineStr">
        <is>
          <t>[Căn cứ file KH gửi 22/09] Hóa đơn tháng 9: «Ngày chốt số liệu 22/08». [GIẢ ĐỊNH bên PT – cần KH xác nhận] Ngày chốt 22 áp toàn hệ thống (tham số có thể đổi theo tòa); quản lý tòa nhập chỉ số (ảnh công tơ đính kèm), TNVH duyệt trước khi phát hành hóa đơn.</t>
        </is>
      </c>
      <c r="I56" s="24" t="inlineStr">
        <is>
          <t>Bên PT (giả định)</t>
        </is>
      </c>
      <c r="J56" s="24" t="inlineStr"/>
    </row>
    <row r="57">
      <c r="A57" s="22" t="inlineStr">
        <is>
          <t>Q56</t>
        </is>
      </c>
      <c r="B57" s="22" t="inlineStr">
        <is>
          <t>Vận hành &amp; tổ chức</t>
        </is>
      </c>
      <c r="C57" s="22" t="inlineStr">
        <is>
          <t>Phí phạt trễ hạn 200.000đ/ngày (ghi trên hóa đơn) có thu thật không? Ai quyết định thu/miễn?</t>
        </is>
      </c>
      <c r="D57" s="22" t="inlineStr">
        <is>
          <t>Dòng phạt trên hóa đơn.</t>
        </is>
      </c>
      <c r="E57" s="22" t="inlineStr">
        <is>
          <t>Chưa rõ.</t>
        </is>
      </c>
      <c r="F57" s="23" t="inlineStr">
        <is>
          <t>Chờ xác nhận</t>
        </is>
      </c>
      <c r="G57" s="24" t="inlineStr"/>
      <c r="H57" s="24" t="inlineStr">
        <is>
          <t>[KH trả lời 06/09/2026] (câu 14) Hóa đơn chuyển sang công nợ sau 5 ngày kể từ khi có hóa đơn. Phí phạt 200k/ngày có thu thật không vẫn chưa trả lời.
[Căn cứ file KH gửi 22/09] Hóa đơn ghi phạt 200.000đ/ngày; KH câu 14: thành công nợ sau 5 ngày. [GIẢ ĐỊNH bên PT – cần KH xác nhận] Phạt là công cụ răn đe, thu theo quyết định từng trường hợp: phần mềm tự đề xuất dòng phạt sau 5 ngày quá hạn, quản lý tòa xác nhận/miễn (có lý do), kế toán duyệt; không tự cộng vào hóa đơn.</t>
        </is>
      </c>
      <c r="I57" s="24" t="inlineStr">
        <is>
          <t>KH + Bên PT (giả định)</t>
        </is>
      </c>
      <c r="J57" s="24" t="inlineStr"/>
    </row>
    <row r="58">
      <c r="A58" s="22" t="inlineStr">
        <is>
          <t>Q57</t>
        </is>
      </c>
      <c r="B58" s="22" t="inlineStr">
        <is>
          <t>Vận hành &amp; tổ chức</t>
        </is>
      </c>
      <c r="C58" s="22" t="inlineStr">
        <is>
          <t>Xin danh sách tòa có đơn giá dịch vụ khác mặc định (VD T18: nước 100.000/người + vệ sinh 30.000/người thay vì 120.000).</t>
        </is>
      </c>
      <c r="D58" s="22" t="inlineStr">
        <is>
          <t>Cấu hình bảng giá theo tòa.</t>
        </is>
      </c>
      <c r="E58" s="22" t="inlineStr">
        <is>
          <t>Chưa có.</t>
        </is>
      </c>
      <c r="F58" s="23" t="inlineStr">
        <is>
          <t>Chờ xác nhận</t>
        </is>
      </c>
      <c r="G58" s="24" t="inlineStr"/>
      <c r="H58" s="24" t="inlineStr">
        <is>
          <t>[File 'nội dung làm web' 31/08/2026] «Upload hợp đồng lên và tự cập nhật bảng giá dịch vụ theo HĐ vì mỗi HĐ 1 loại giá dịch vụ». Danh sách DV: điện, nước, mạng, thang máy, dịch vụ chung, phí sạc xe điện, phí gửi xe. Vẫn cần danh sách tòa có đơn giá khác mặc định.
[Căn cứ file KH gửi 22/09] Sổ tháng 9: T18 nước 100.000 + vệ sinh 30.000; G6/S42 nước 35.000/m³ theo đồng hồ, máy giặt 50.000–60.000, xe điện 150.000; mặc định nước 120.000/người, điện 4.000/kWh, mạng 100.000/phòng. [GIẢ ĐỊNH bên PT – cần KH xác nhận] Phần mềm khởi tạo bảng giá mặc định + override theo tòa từ chính sổ tháng 9 (quét đơn giá từng tòa); giá trên HĐ được snapshot theo HĐ như KH yêu cầu.</t>
        </is>
      </c>
      <c r="I58" s="24" t="inlineStr">
        <is>
          <t>KH + Bên PT (giả định)</t>
        </is>
      </c>
      <c r="J58" s="24" t="inlineStr"/>
    </row>
    <row r="59">
      <c r="A59" s="22" t="inlineStr">
        <is>
          <t>Q58</t>
        </is>
      </c>
      <c r="B59" s="22" t="inlineStr">
        <is>
          <t>Vận hành &amp; tổ chức</t>
        </is>
      </c>
      <c r="C59" s="22" t="inlineStr">
        <is>
          <t>Có 2 tài khoản nhận tiền (VP‑Hằng / Techcombank): có ý nghĩa gì với báo cáo (theo pháp nhân, theo nhóm tòa)?</t>
        </is>
      </c>
      <c r="D59" s="22" t="inlineStr">
        <is>
          <t>Sổ nguồn tách sheet HĐ (VP) / HĐ (TECH).</t>
        </is>
      </c>
      <c r="E59" s="22" t="inlineStr">
        <is>
          <t>Chưa rõ.</t>
        </is>
      </c>
      <c r="F59" s="23" t="inlineStr">
        <is>
          <t>Chờ xác nhận</t>
        </is>
      </c>
      <c r="G59" s="24" t="inlineStr"/>
      <c r="H59" s="24" t="inlineStr">
        <is>
          <t>[Căn cứ file KH gửi 22/09] Sổ tách sheet HĐ (VP-HẰNG)/(VP)/(TECH)/(HĐ G1 TECH). [GIẢ ĐỊNH bên PT – cần KH xác nhận] Tài khoản nhận tiền là thuộc tính của tòa (mỗi tòa/nhóm tòa gắn 1 TK mặc định để in lên hóa đơn); báo cáo có thể lọc theo tài khoản nhận để đối chiếu sao kê, không ảnh hưởng cách tính doanh thu.</t>
        </is>
      </c>
      <c r="I59" s="24" t="inlineStr">
        <is>
          <t>Bên PT (giả định)</t>
        </is>
      </c>
      <c r="J59" s="24" t="inlineStr"/>
    </row>
    <row r="60">
      <c r="A60" s="22" t="inlineStr">
        <is>
          <t>Q59</t>
        </is>
      </c>
      <c r="B60" s="22" t="inlineStr">
        <is>
          <t>Vận hành &amp; tổ chức</t>
        </is>
      </c>
      <c r="C60" s="22" t="inlineStr">
        <is>
          <t>Quy tắc đặt mã khách (VD 606T42A001): số cuối tăng khi có khách mới vào phòng?</t>
        </is>
      </c>
      <c r="D60" s="22" t="inlineStr">
        <is>
          <t>Sinh mã tự động.</t>
        </is>
      </c>
      <c r="E60" s="22" t="inlineStr">
        <is>
          <t>Chưa rõ.</t>
        </is>
      </c>
      <c r="F60" s="25" t="inlineStr">
        <is>
          <t>Đã trả lời</t>
        </is>
      </c>
      <c r="G60" s="24" t="inlineStr"/>
      <c r="H60" s="24" t="inlineStr">
        <is>
          <t>[Căn cứ file KH gửi 22/09] Mẫu hóa đơn: mã KH = CONCATENATE(mã phòng, "A001"). [GIẢ ĐỊNH bên PT – cần KH xác nhận] Mã khách = mã phòng + «A» + số thứ tự HĐ của phòng (A001, A002…), tăng khi có HĐ mới; đổi phòng nội bộ giữ nguyên số thứ tự nhưng đổi phần mã phòng.</t>
        </is>
      </c>
      <c r="I60" s="24" t="inlineStr">
        <is>
          <t>Bên PT (giả định)</t>
        </is>
      </c>
      <c r="J60" s="24" t="inlineStr"/>
    </row>
    <row r="61">
      <c r="A61" s="22" t="inlineStr">
        <is>
          <t>Q60</t>
        </is>
      </c>
      <c r="B61" s="22" t="inlineStr">
        <is>
          <t>Vận hành &amp; tổ chức</t>
        </is>
      </c>
      <c r="C61" s="22" t="inlineStr">
        <is>
          <t>Kỹ thuật, vệ sinh có phân công theo tòa không, hay theo khu vực?</t>
        </is>
      </c>
      <c r="D61" s="22" t="inlineStr">
        <is>
          <t>Chức năng phân công.</t>
        </is>
      </c>
      <c r="E61" s="22" t="inlineStr">
        <is>
          <t>Chưa rõ.</t>
        </is>
      </c>
      <c r="F61" s="25" t="inlineStr">
        <is>
          <t>Đã trả lời</t>
        </is>
      </c>
      <c r="G61" s="24" t="inlineStr"/>
      <c r="H61" s="24" t="inlineStr">
        <is>
          <t>[File 'nội dung làm web' 31/08/2026] Thông tin tòa nhà gồm: tên trưởng nhóm, tên NV vận hành, tên NV vệ sinh, tên NV kỹ thuật → phân công vệ sinh/kỹ thuật theo tòa.</t>
        </is>
      </c>
      <c r="I61" s="24" t="inlineStr">
        <is>
          <t>KH</t>
        </is>
      </c>
      <c r="J61" s="24" t="inlineStr"/>
    </row>
    <row r="62">
      <c r="A62" s="22" t="inlineStr">
        <is>
          <t>Q61</t>
        </is>
      </c>
      <c r="B62" s="22" t="inlineStr">
        <is>
          <t>Vận hành &amp; tổ chức</t>
        </is>
      </c>
      <c r="C62" s="22" t="inlineStr">
        <is>
          <t>Trưởng nhóm cần xem gì của nhân viên ở giai đoạn 1: danh sách việc tồn, công nợ, hiệu suất? Có cần giao việc &amp; theo dõi tiến độ sửa chữa/vệ sinh ngay giai đoạn 1 không?</t>
        </is>
      </c>
      <c r="D62" s="22" t="inlineStr">
        <is>
          <t>Phạm vi giai đoạn 1.</t>
        </is>
      </c>
      <c r="E62" s="22" t="inlineStr">
        <is>
          <t>Giai đoạn 1: danh sách việc tồn + công nợ + hiệu suất theo nhân viên; giao việc chi tiết ở giai đoạn 2.</t>
        </is>
      </c>
      <c r="F62" s="23" t="inlineStr">
        <is>
          <t>Chờ xác nhận</t>
        </is>
      </c>
      <c r="G62" s="24" t="inlineStr"/>
      <c r="H62" s="24" t="inlineStr">
        <is>
          <t>[File 'nội dung làm web' 31/08/2026] Tổng quan lọc theo khu vực / tên quản lý / tên trưởng nhóm; thay biểu đồ bằng «cập nhật tiến độ thu tiền». [KH trả lời 06/09/2026] (câu 32) Lịch bảo dưỡng nhắc tự động trước 7 ngày; (câu 33) kiểm kê tài sản 1 tháng/lần, admin &amp; kế toán duyệt. Giao việc/tiến độ sửa chữa giai đoạn 1 vẫn cần xác nhận.
[GIẢ ĐỊNH bên PT – cần KH xác nhận] Giai đoạn 1: Lead xem theo cây tổ chức (khu vực → trưởng nhóm → quản lý): tiến độ thu tiền theo mốc, công nợ, hiệu suất tạm tính, danh sách việc tồn (hóa đơn chưa phát hành, HĐ sắp hết 35 ngày, hoàn cọc chờ duyệt, phòng chờ dọn) và lịch bảo dưỡng nhắc trước 7 ngày. Giao việc chi tiết cho kỹ thuật/vệ sinh (work order) để giai đoạn 2.</t>
        </is>
      </c>
      <c r="I62" s="24" t="inlineStr">
        <is>
          <t>KH + Bên PT (giả định)</t>
        </is>
      </c>
      <c r="J62" s="24" t="inlineStr"/>
    </row>
    <row r="63">
      <c r="A63" s="22" t="inlineStr">
        <is>
          <t>Q62</t>
        </is>
      </c>
      <c r="B63" s="22" t="inlineStr">
        <is>
          <t>Vận hành &amp; tổ chức</t>
        </is>
      </c>
      <c r="C63" s="22" t="inlineStr">
        <is>
          <t>Ai duyệt và khóa báo cáo tháng? Sau khi khóa mà phát hiện sai thì xử lý thế nào?</t>
        </is>
      </c>
      <c r="D63" s="22" t="inlineStr">
        <is>
          <t>Quy trình chốt kỳ.</t>
        </is>
      </c>
      <c r="E63" s="22" t="inlineStr">
        <is>
          <t>Kế toán khóa; điều chỉnh ghi vào tháng sau.</t>
        </is>
      </c>
      <c r="F63" s="23" t="inlineStr">
        <is>
          <t>Chờ xác nhận</t>
        </is>
      </c>
      <c r="G63" s="24" t="inlineStr"/>
      <c r="H63" s="24" t="inlineStr">
        <is>
          <t>[GIẢ ĐỊNH bên PT theo chuẩn kế toán &amp; thực tế DN – cần KH xác nhận] Quy trình khóa kỳ chuẩn: ngày 16 chốt thu tiền &amp; bảng lương (TPVH xác nhận) → ngày 20 kế toán kiểm tra chi phí import → khóa báo cáo tháng (kế toán), admin duyệt. Sau khóa: mọi sửa đổi ghi bút toán điều chỉnh vào tháng hiện tại có tham chiếu chứng từ gốc; chỉ admin được mở khóa, hệ thống lưu phiên bản trước.</t>
        </is>
      </c>
      <c r="I63" s="24" t="inlineStr">
        <is>
          <t>KH 22/09 + Bên PT</t>
        </is>
      </c>
      <c r="J63" s="24" t="inlineStr"/>
    </row>
    <row r="64">
      <c r="A64" s="22" t="inlineStr">
        <is>
          <t>Q63</t>
        </is>
      </c>
      <c r="B64" s="22" t="inlineStr">
        <is>
          <t>Vận hành &amp; tổ chức</t>
        </is>
      </c>
      <c r="C64" s="22" t="inlineStr">
        <is>
          <t>Nhóm tòa T / S / G nghĩa là gì (theo pháp nhân, khu vực, giai đoạn)? Có tòa nào đổi nhóm không?</t>
        </is>
      </c>
      <c r="D64" s="22" t="inlineStr">
        <is>
          <t>Cột báo cáo tổng.</t>
        </is>
      </c>
      <c r="E64" s="22" t="inlineStr">
        <is>
          <t>Theo pháp nhân / nhóm đầu tư ký hợp đồng đầu vào.</t>
        </is>
      </c>
      <c r="F64" s="23" t="inlineStr">
        <is>
          <t>Chờ xác nhận</t>
        </is>
      </c>
      <c r="G64" s="24" t="inlineStr"/>
      <c r="H64" s="24" t="inlineStr">
        <is>
          <t>[KH trả lời 06/09/2026] (câu 2) «T, G, S là ký hiệu của các mã tòa (T2, T3, S1, S2, G1, G2)». Chưa rõ tiêu chí phân nhóm. [Đối chiếu công thức file nguồn KH gửi 22/09/2026] Sheet «BC DT THÁNG 8 NHÀ T» còn có phân loại L1/L2/L3 cho từng tòa (dòng 3) → cần hỏi thêm L1/L2/L3 là gì.
[GIẢ ĐỊNH bên PT – cần KH xác nhận] T/S/G là 3 «dòng nhà» (thương hiệu/nhóm vận hành) đặt tên theo ký hiệu, không theo địa lý; mỗi tòa còn có phân loại chất lượng L1/L2/L3 (cũ/trung bình/mới – KH ghi «tình trạng tòa nhà» trong file web). Phần mềm lưu 2 thuộc tính riêng: nhóm (T/S/G) và hạng (L1–L3), đều có ngày hiệu lực.</t>
        </is>
      </c>
      <c r="I64" s="24" t="inlineStr">
        <is>
          <t>KH + đối chiếu file + Bên PT (giả định)</t>
        </is>
      </c>
      <c r="J64" s="24" t="inlineStr"/>
    </row>
    <row r="65">
      <c r="A65" s="22" t="inlineStr">
        <is>
          <t>Q64</t>
        </is>
      </c>
      <c r="B65" s="22" t="inlineStr">
        <is>
          <t>Vận hành &amp; tổ chức</t>
        </is>
      </c>
      <c r="C65" s="22" t="inlineStr">
        <is>
          <t>Có tòa thuê của nhiều chủ (nhiều hợp đồng đầu vào) hoặc 1 hợp đồng cho nhiều tòa không?</t>
        </is>
      </c>
      <c r="D65" s="22" t="inlineStr">
        <is>
          <t>Thiết kế dữ liệu hợp đồng đầu vào.</t>
        </is>
      </c>
      <c r="E65" s="22" t="inlineStr">
        <is>
          <t>Chưa rõ.</t>
        </is>
      </c>
      <c r="F65" s="23" t="inlineStr">
        <is>
          <t>Chờ xác nhận</t>
        </is>
      </c>
      <c r="G65" s="24" t="inlineStr"/>
      <c r="H65" s="24" t="inlineStr">
        <is>
          <t>[Căn cứ file KH gửi 22/09] HĐ mẫu: 1 chủ nhà – 1 tòa – 1 HĐ 5 năm; sổ có tòa S4A, S9B, S19A/B/C, S37A/B là các khối tách của cùng địa chỉ. [GIẢ ĐỊNH bên PT – cần KH xác nhận] Mặc định 1 HĐ đầu vào ↔ 1 tòa; cho phép 1 HĐ gắn nhiều tòa (các khối A/B/C) và 1 tòa có nhiều HĐ theo thời gian (gia hạn/ký lại). Không hỗ trợ 1 tòa nhiều chủ nhà cùng lúc.</t>
        </is>
      </c>
      <c r="I65" s="24" t="inlineStr">
        <is>
          <t>Bên PT (giả định)</t>
        </is>
      </c>
      <c r="J65" s="24" t="inlineStr"/>
    </row>
  </sheetData>
  <autoFilter ref="A1:J65"/>
  <dataValidations count="1">
    <dataValidation sqref="G2:G65" showDropDown="0" showInputMessage="0" showErrorMessage="0" allowBlank="1" promptTitle="Xác nhận" prompt="Chọn: Đúng / Sai - xem cột trả lời / Cần trao đổi thêm" type="list">
      <formula1>"Đúng,Sai - xem cột trả lời,Cần trao đổi thêm"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8" customWidth="1" min="2" max="2"/>
    <col width="30" customWidth="1" min="3" max="3"/>
    <col width="60" customWidth="1" min="4" max="4"/>
    <col width="15" customWidth="1" min="5" max="5"/>
    <col width="18" customWidth="1" min="6" max="6"/>
    <col width="50" customWidth="1" min="7" max="7"/>
    <col width="14" customWidth="1" min="8" max="8"/>
  </cols>
  <sheetData>
    <row r="1">
      <c r="A1" s="10" t="inlineStr">
        <is>
          <t>Mã</t>
        </is>
      </c>
      <c r="B1" s="10" t="inlineStr">
        <is>
          <t>Nhóm</t>
        </is>
      </c>
      <c r="C1" s="10" t="inlineStr">
        <is>
          <t>Thuật ngữ</t>
        </is>
      </c>
      <c r="D1" s="10" t="inlineStr">
        <is>
          <t>Cách hiểu hiện tại của bên phát triển</t>
        </is>
      </c>
      <c r="E1" s="10" t="inlineStr">
        <is>
          <t>Trạng thái</t>
        </is>
      </c>
      <c r="F1" s="10" t="inlineStr">
        <is>
          <t>Xác nhận
(chọn)</t>
        </is>
      </c>
      <c r="G1" s="10" t="inlineStr">
        <is>
          <t>Định nghĩa đúng / bổ sung của công ty</t>
        </is>
      </c>
      <c r="H1" s="10" t="inlineStr">
        <is>
          <t>Người trả lời</t>
        </is>
      </c>
    </row>
    <row r="2">
      <c r="A2" s="22" t="inlineStr">
        <is>
          <t>D01</t>
        </is>
      </c>
      <c r="B2" s="22" t="inlineStr">
        <is>
          <t>Đối tượng</t>
        </is>
      </c>
      <c r="C2" s="22" t="inlineStr">
        <is>
          <t>Tòa (mã T42, S9B, G1)</t>
        </is>
      </c>
      <c r="D2" s="22" t="inlineStr">
        <is>
          <t>Một tòa nhà công ty thuê lại từ chủ nhà theo 1 hợp đồng đầu vào; chữ đầu = nhóm T/S/G.</t>
        </is>
      </c>
      <c r="E2" s="25" t="inlineStr">
        <is>
          <t>Đã trả lời</t>
        </is>
      </c>
      <c r="F2" s="24" t="inlineStr"/>
      <c r="G2" s="24" t="inlineStr"/>
      <c r="H2" s="24" t="inlineStr"/>
    </row>
    <row r="3">
      <c r="A3" s="22" t="inlineStr">
        <is>
          <t>D02</t>
        </is>
      </c>
      <c r="B3" s="22" t="inlineStr">
        <is>
          <t>Đối tượng</t>
        </is>
      </c>
      <c r="C3" s="22" t="inlineStr">
        <is>
          <t>Nhóm tòa T / S / G</t>
        </is>
      </c>
      <c r="D3" s="22" t="inlineStr">
        <is>
          <t>Nhóm theo pháp nhân / nhóm đầu tư ký hợp đồng đầu vào, không theo địa lý; có thể đổi theo thời gian.</t>
        </is>
      </c>
      <c r="E3" s="23" t="inlineStr">
        <is>
          <t>Chờ xác nhận</t>
        </is>
      </c>
      <c r="F3" s="24" t="inlineStr"/>
      <c r="G3" s="24" t="inlineStr">
        <is>
          <t>[KH trả lời 06/09/2026] (câu 2) T/S/G là ký hiệu mã tòa. Ý nghĩa phân nhóm chưa rõ; file BC DT còn có loại L1/L2/L3.
[GIẢ ĐỊNH bên PT – cần KH xác nhận] Nhóm/dòng nhà T, S, G (ký hiệu mã tòa), có thể đổi theo HĐ đầu vào; kèm hạng L1/L2/L3 theo tình trạng tòa (xem Q63).</t>
        </is>
      </c>
      <c r="H3" s="24" t="inlineStr">
        <is>
          <t>KH + Bên PT (giả định)</t>
        </is>
      </c>
    </row>
    <row r="4">
      <c r="A4" s="22" t="inlineStr">
        <is>
          <t>D03</t>
        </is>
      </c>
      <c r="B4" s="22" t="inlineStr">
        <is>
          <t>Đối tượng</t>
        </is>
      </c>
      <c r="C4" s="22" t="inlineStr">
        <is>
          <t>Mã phòng (606T42)</t>
        </is>
      </c>
      <c r="D4" s="22" t="inlineStr">
        <is>
          <t>3 số phòng + mã tòa; ngoại lệ có chữ (401S4A, 201S48A).</t>
        </is>
      </c>
      <c r="E4" s="25" t="inlineStr">
        <is>
          <t>Đã trả lời</t>
        </is>
      </c>
      <c r="F4" s="24" t="inlineStr"/>
      <c r="G4" s="24" t="inlineStr"/>
      <c r="H4" s="24" t="inlineStr"/>
    </row>
    <row r="5">
      <c r="A5" s="22" t="inlineStr">
        <is>
          <t>D04</t>
        </is>
      </c>
      <c r="B5" s="22" t="inlineStr">
        <is>
          <t>Đối tượng</t>
        </is>
      </c>
      <c r="C5" s="22" t="inlineStr">
        <is>
          <t>Mã khách (606T42A001)</t>
        </is>
      </c>
      <c r="D5" s="22" t="inlineStr">
        <is>
          <t>Mã phòng + «A» + số thứ tự khách của phòng.</t>
        </is>
      </c>
      <c r="E5" s="25" t="inlineStr">
        <is>
          <t>Đã trả lời</t>
        </is>
      </c>
      <c r="F5" s="24" t="inlineStr"/>
      <c r="G5" s="24" t="inlineStr">
        <is>
          <t>[Căn cứ file KH gửi 22/09] Hóa đơn: mã KH = mã phòng &amp; "A001". [GIẢ ĐỊNH bên PT – cần KH xác nhận] Số thứ tự tăng theo HĐ mới của phòng (A001, A002…).</t>
        </is>
      </c>
      <c r="H5" s="24" t="inlineStr">
        <is>
          <t>Bên PT (giả định)</t>
        </is>
      </c>
    </row>
    <row r="6">
      <c r="A6" s="22" t="inlineStr">
        <is>
          <t>D05</t>
        </is>
      </c>
      <c r="B6" s="22" t="inlineStr">
        <is>
          <t>Đối tượng</t>
        </is>
      </c>
      <c r="C6" s="22" t="inlineStr">
        <is>
          <t>Quản lý tòa (NVVH)</t>
        </is>
      </c>
      <c r="D6" s="22" t="inlineStr">
        <is>
          <t>Nhân viên vận hành được phân công phụ trách chính tòa; 1 người phụ trách 3–12 tòa.</t>
        </is>
      </c>
      <c r="E6" s="25" t="inlineStr">
        <is>
          <t>Đã trả lời</t>
        </is>
      </c>
      <c r="F6" s="24" t="inlineStr"/>
      <c r="G6" s="24" t="inlineStr"/>
      <c r="H6" s="24" t="inlineStr"/>
    </row>
    <row r="7">
      <c r="A7" s="22" t="inlineStr">
        <is>
          <t>D06</t>
        </is>
      </c>
      <c r="B7" s="22" t="inlineStr">
        <is>
          <t>Đối tượng</t>
        </is>
      </c>
      <c r="C7" s="22" t="inlineStr">
        <is>
          <t>TPVH / TNVH</t>
        </is>
      </c>
      <c r="D7" s="22" t="inlineStr">
        <is>
          <t>Trưởng phòng / trưởng nhóm vận hành – cấp trên trực tiếp của các quản lý tòa.</t>
        </is>
      </c>
      <c r="E7" s="25" t="inlineStr">
        <is>
          <t>Đã trả lời</t>
        </is>
      </c>
      <c r="F7" s="24" t="inlineStr"/>
      <c r="G7" s="24" t="inlineStr"/>
      <c r="H7" s="24" t="inlineStr"/>
    </row>
    <row r="8">
      <c r="A8" s="22" t="inlineStr">
        <is>
          <t>D07</t>
        </is>
      </c>
      <c r="B8" s="22" t="inlineStr">
        <is>
          <t>Đối tượng</t>
        </is>
      </c>
      <c r="C8" s="22" t="inlineStr">
        <is>
          <t>Team (trong file hoa hồng)</t>
        </is>
      </c>
      <c r="D8" s="22" t="inlineStr">
        <is>
          <t>Người / đơn vị NHẬN hoa hồng: môi giới bên ngoài, cộng tác viên, hoặc lead nội bộ (ghi «(LEAD)»).</t>
        </is>
      </c>
      <c r="E8" s="23" t="inlineStr">
        <is>
          <t>Chờ xác nhận</t>
        </is>
      </c>
      <c r="F8" s="24" t="inlineStr"/>
      <c r="G8" s="24" t="inlineStr">
        <is>
          <t>[KH trả lời 06/09/2026] (câu 20) Hoa hồng chia theo cá nhân. [File 'nội dung làm web' 31/08/2026] Bảng hoa hồng có cột «team sale»; thống kê khách có «nguồn khách (sale nội bộ, đối tác)».
[GIẢ ĐỊNH bên PT – cần KH xác nhận] Team = người/đơn vị nhận hoa hồng (cá nhân sale nội bộ, lead, đối tác/môi giới, CTV); mỗi deal 1 người nhận chính, có thể tách nhiều dòng khi trùng nguồn.</t>
        </is>
      </c>
      <c r="H8" s="24" t="inlineStr">
        <is>
          <t>KH + Bên PT (giả định)</t>
        </is>
      </c>
    </row>
    <row r="9">
      <c r="A9" s="22" t="inlineStr">
        <is>
          <t>D08</t>
        </is>
      </c>
      <c r="B9" s="22" t="inlineStr">
        <is>
          <t>Đối tượng</t>
        </is>
      </c>
      <c r="C9" s="22" t="inlineStr">
        <is>
          <t>Cổ đông</t>
        </is>
      </c>
      <c r="D9" s="22" t="inlineStr">
        <is>
          <t>Người góp vốn vào TỪNG TÒA theo tỷ lệ %; mỗi tòa có danh sách cổ đông riêng.</t>
        </is>
      </c>
      <c r="E9" s="25" t="inlineStr">
        <is>
          <t>Đã trả lời</t>
        </is>
      </c>
      <c r="F9" s="24" t="inlineStr"/>
      <c r="G9" s="24" t="inlineStr">
        <is>
          <t>[KH trả lời 06/09/2026] (câu 30) Một cổ đông có thể góp vào nhiều nhà; tỷ lệ nhập tay. (câu 31) Thống kê tài sản / tiền cọc của cổ đông liên kết với module Tòa nhà.</t>
        </is>
      </c>
      <c r="H9" s="24" t="inlineStr">
        <is>
          <t>KH</t>
        </is>
      </c>
    </row>
    <row r="10">
      <c r="A10" s="22" t="inlineStr">
        <is>
          <t>D09</t>
        </is>
      </c>
      <c r="B10" s="22" t="inlineStr">
        <is>
          <t>Đối tượng</t>
        </is>
      </c>
      <c r="C10" s="22" t="inlineStr">
        <is>
          <t>Kỳ báo cáo</t>
        </is>
      </c>
      <c r="D10" s="22" t="inlineStr">
        <is>
          <t>Tháng dương lịch; hóa đơn chốt số ngày 22 nhưng báo cáo tính theo tháng thu tiền.</t>
        </is>
      </c>
      <c r="E10" s="23" t="inlineStr">
        <is>
          <t>Chờ xác nhận</t>
        </is>
      </c>
      <c r="F10" s="24" t="inlineStr"/>
      <c r="G10" s="24" t="inlineStr">
        <is>
          <t>[GIẢ ĐỊNH bên PT – cần KH xác nhận] Kỳ báo cáo = tháng dương lịch. Chỉ số điện nước chốt ngày 22 tháng trước; hóa đơn phát hành cuối tháng cho tiền phòng tháng sau + dịch vụ tháng này; thu tiền ngày 1–15 tháng sau; báo cáo dòng tiền theo tháng thu.</t>
        </is>
      </c>
      <c r="H10" s="24" t="inlineStr">
        <is>
          <t>Bên PT (giả định)</t>
        </is>
      </c>
    </row>
    <row r="11">
      <c r="A11" s="22" t="inlineStr">
        <is>
          <t>D10</t>
        </is>
      </c>
      <c r="B11" s="22" t="inlineStr">
        <is>
          <t>Giá &amp; hợp đồng</t>
        </is>
      </c>
      <c r="C11" s="22" t="inlineStr">
        <is>
          <t>Giá niêm yết</t>
        </is>
      </c>
      <c r="D11" s="22" t="inlineStr">
        <is>
          <t>Giá công bố của phòng; là mẫu số khi tính hiệu suất thu tiền.</t>
        </is>
      </c>
      <c r="E11" s="25" t="inlineStr">
        <is>
          <t>Đã trả lời</t>
        </is>
      </c>
      <c r="F11" s="24" t="inlineStr"/>
      <c r="G11" s="24" t="inlineStr">
        <is>
          <t>[KH trả lời 06/09/2026] (câu 13) Giá niêm yết là giá tiêu chuẩn của Timehouse.</t>
        </is>
      </c>
      <c r="H11" s="24" t="inlineStr">
        <is>
          <t>KH</t>
        </is>
      </c>
    </row>
    <row r="12">
      <c r="A12" s="22" t="inlineStr">
        <is>
          <t>D11</t>
        </is>
      </c>
      <c r="B12" s="22" t="inlineStr">
        <is>
          <t>Giá &amp; hợp đồng</t>
        </is>
      </c>
      <c r="C12" s="22" t="inlineStr">
        <is>
          <t>Giá QL</t>
        </is>
      </c>
      <c r="D12" s="22" t="inlineStr">
        <is>
          <t>Mức giá sàn quản lý tòa được tự quyết khi chốt khách (thấp hơn phải xin duyệt).</t>
        </is>
      </c>
      <c r="E12" s="23" t="inlineStr">
        <is>
          <t>Chờ xác nhận</t>
        </is>
      </c>
      <c r="F12" s="24" t="inlineStr"/>
      <c r="G12" s="24" t="inlineStr">
        <is>
          <t>[Căn cứ file KH gửi 22/09] Sổ: cột Giá QL thường = giá hiện tại, thấp hơn niêm yết 100–500k. [GIẢ ĐỊNH bên PT – cần KH xác nhận] Giá QL = mức sàn quản lý tòa được tự chốt với khách; chốt thấp hơn Giá QL phải được TNVH duyệt. Giá QL do TPVH đặt theo tòa/phòng.</t>
        </is>
      </c>
      <c r="H12" s="24" t="inlineStr">
        <is>
          <t>Bên PT (giả định)</t>
        </is>
      </c>
    </row>
    <row r="13">
      <c r="A13" s="22" t="inlineStr">
        <is>
          <t>D12</t>
        </is>
      </c>
      <c r="B13" s="22" t="inlineStr">
        <is>
          <t>Giá &amp; hợp đồng</t>
        </is>
      </c>
      <c r="C13" s="22" t="inlineStr">
        <is>
          <t>Giá phòng hiện tại (giá chốt)</t>
        </is>
      </c>
      <c r="D13" s="22" t="inlineStr">
        <is>
          <t>Giá thực ký trên hợp đồng; là cơ sở tính tiền phòng và hoa hồng.</t>
        </is>
      </c>
      <c r="E13" s="25" t="inlineStr">
        <is>
          <t>Đã trả lời</t>
        </is>
      </c>
      <c r="F13" s="24" t="inlineStr"/>
      <c r="G13" s="24" t="inlineStr">
        <is>
          <t>[KH trả lời 06/09/2026] (câu 13) Giá cho thuê là giá thực tế khách đang thuê.</t>
        </is>
      </c>
      <c r="H13" s="24" t="inlineStr">
        <is>
          <t>KH</t>
        </is>
      </c>
    </row>
    <row r="14">
      <c r="A14" s="22" t="inlineStr">
        <is>
          <t>D13</t>
        </is>
      </c>
      <c r="B14" s="22" t="inlineStr">
        <is>
          <t>Giá &amp; hợp đồng</t>
        </is>
      </c>
      <c r="C14" s="22" t="inlineStr">
        <is>
          <t>Kỳ TT (1 / 3)</t>
        </is>
      </c>
      <c r="D14" s="22" t="inlineStr">
        <is>
          <t>Số tháng khách đóng tiền 1 lần: 1 = hàng tháng, 3 = theo quý.</t>
        </is>
      </c>
      <c r="E14" s="23" t="inlineStr">
        <is>
          <t>Chờ xác nhận</t>
        </is>
      </c>
      <c r="F14" s="24" t="inlineStr"/>
      <c r="G14" s="24" t="inlineStr">
        <is>
          <t>[Căn cứ file KH gửi 22/09] Sổ: Tổng cần đóng = … + Giá phòng × Kỳ TT. [GIẢ ĐỊNH bên PT – cần KH xác nhận] Kỳ TT = số tháng tiền phòng thu trước trong 1 hóa đơn (1 hoặc 3; cho phép 6).</t>
        </is>
      </c>
      <c r="H14" s="24" t="inlineStr">
        <is>
          <t>Bên PT (giả định)</t>
        </is>
      </c>
    </row>
    <row r="15">
      <c r="A15" s="22" t="inlineStr">
        <is>
          <t>D14</t>
        </is>
      </c>
      <c r="B15" s="22" t="inlineStr">
        <is>
          <t>Giá &amp; hợp đồng</t>
        </is>
      </c>
      <c r="C15" s="22" t="inlineStr">
        <is>
          <t>Ngày ở / Ngày DV (30)</t>
        </is>
      </c>
      <c r="D15" s="22" t="inlineStr">
        <is>
          <t>Số ngày tính tiền phòng / tính dịch vụ trong tháng; nhỏ hơn 30 thì tính theo tỷ lệ ngày.</t>
        </is>
      </c>
      <c r="E15" s="23" t="inlineStr">
        <is>
          <t>Chờ xác nhận</t>
        </is>
      </c>
      <c r="F15" s="24" t="inlineStr"/>
      <c r="G15" s="24" t="inlineStr">
        <is>
          <t>[GIẢ ĐỊNH bên PT theo chuẩn kế toán &amp; thực tế DN – cần KH xác nhận] Ngày ở/Ngày DV mặc định 30; tiền theo ngày = giá ÷ 30 × ngày (quy ước công ty).</t>
        </is>
      </c>
      <c r="H15" s="24" t="inlineStr">
        <is>
          <t>KH 22/09 + Bên PT</t>
        </is>
      </c>
    </row>
    <row r="16">
      <c r="A16" s="22" t="inlineStr">
        <is>
          <t>D15</t>
        </is>
      </c>
      <c r="B16" s="22" t="inlineStr">
        <is>
          <t>Giá &amp; hợp đồng</t>
        </is>
      </c>
      <c r="C16" s="22" t="inlineStr">
        <is>
          <t>Số người</t>
        </is>
      </c>
      <c r="D16" s="22" t="inlineStr">
        <is>
          <t>Số người ở thực tế trong phòng → cơ sở tính nước, vệ sinh, máy giặt, combo.</t>
        </is>
      </c>
      <c r="E16" s="25" t="inlineStr">
        <is>
          <t>Đã trả lời</t>
        </is>
      </c>
      <c r="F16" s="24" t="inlineStr"/>
      <c r="G16" s="24" t="inlineStr"/>
      <c r="H16" s="24" t="inlineStr"/>
    </row>
    <row r="17">
      <c r="A17" s="22" t="inlineStr">
        <is>
          <t>D16</t>
        </is>
      </c>
      <c r="B17" s="22" t="inlineStr">
        <is>
          <t>Giá &amp; hợp đồng</t>
        </is>
      </c>
      <c r="C17" s="22" t="inlineStr">
        <is>
          <t>Nợ cũ</t>
        </is>
      </c>
      <c r="D17" s="22" t="inlineStr">
        <is>
          <t>Số còn thiếu của kỳ trước, cộng dồn thành 1 dòng trên hóa đơn kỳ này.</t>
        </is>
      </c>
      <c r="E17" s="25" t="inlineStr">
        <is>
          <t>Đã trả lời</t>
        </is>
      </c>
      <c r="F17" s="24" t="inlineStr"/>
      <c r="G17" s="24" t="inlineStr"/>
      <c r="H17" s="24" t="inlineStr"/>
    </row>
    <row r="18">
      <c r="A18" s="22" t="inlineStr">
        <is>
          <t>D17</t>
        </is>
      </c>
      <c r="B18" s="22" t="inlineStr">
        <is>
          <t>Giá &amp; hợp đồng</t>
        </is>
      </c>
      <c r="C18" s="22" t="inlineStr">
        <is>
          <t>Thu khác</t>
        </is>
      </c>
      <c r="D18" s="22" t="inlineStr">
        <is>
          <t>Khoản thu ngoài bảng giá (phạt, đền bù, bán đồ…).</t>
        </is>
      </c>
      <c r="E18" s="23" t="inlineStr">
        <is>
          <t>Chờ xác nhận</t>
        </is>
      </c>
      <c r="F18" s="24" t="inlineStr"/>
      <c r="G18" s="24" t="inlineStr">
        <is>
          <t>[GIẢ ĐỊNH bên PT – cần KH xác nhận] Thu khác = phụ thu ghi kèm hóa đơn (thêm người, thêm xe, phạt, đền bù, bán đồ, điện chốt bổ sung); có danh mục con để báo cáo đúng dòng.</t>
        </is>
      </c>
      <c r="H18" s="24" t="inlineStr">
        <is>
          <t>Bên PT (giả định)</t>
        </is>
      </c>
    </row>
    <row r="19">
      <c r="A19" s="22" t="inlineStr">
        <is>
          <t>D18</t>
        </is>
      </c>
      <c r="B19" s="22" t="inlineStr">
        <is>
          <t>Giá &amp; hợp đồng</t>
        </is>
      </c>
      <c r="C19" s="22" t="inlineStr">
        <is>
          <t>Điện chung</t>
        </is>
      </c>
      <c r="D19" s="22" t="inlineStr">
        <is>
          <t>Điện khu vực chung được chia cho các phòng.</t>
        </is>
      </c>
      <c r="E19" s="23" t="inlineStr">
        <is>
          <t>Chờ xác nhận</t>
        </is>
      </c>
      <c r="F19" s="24" t="inlineStr"/>
      <c r="G19" s="24" t="inlineStr">
        <is>
          <t>[Căn cứ file KH gửi 22/09] Sổ có bảng «Điện vệ sinh chung» chia theo số người sử dụng. [GIẢ ĐỊNH bên PT – cần KH xác nhận] Điện chung = điện công tơ khu vực chung ÷ tổng số người ở × số người của phòng; dòng dịch vụ riêng, cộng vào doanh thu điện.</t>
        </is>
      </c>
      <c r="H19" s="24" t="inlineStr">
        <is>
          <t>Bên PT (giả định)</t>
        </is>
      </c>
    </row>
    <row r="20">
      <c r="A20" s="22" t="inlineStr">
        <is>
          <t>D19</t>
        </is>
      </c>
      <c r="B20" s="22" t="inlineStr">
        <is>
          <t>Giá &amp; hợp đồng</t>
        </is>
      </c>
      <c r="C20" s="22" t="inlineStr">
        <is>
          <t>DV khác / Combo 120.000đ/người</t>
        </is>
      </c>
      <c r="D20" s="22">
        <f> 60.000 vệ sinh + 60.000 máy giặt (báo cáo chia đôi).</f>
        <v/>
      </c>
      <c r="E20" s="23" t="inlineStr">
        <is>
          <t>Chờ xác nhận</t>
        </is>
      </c>
      <c r="F20" s="24" t="inlineStr"/>
      <c r="G20" s="24" t="inlineStr">
        <is>
          <t>[GIẢ ĐỊNH bên PT – cần KH xác nhận] Combo = 2 dịch vụ Vệ sinh 60.000/người + Máy giặt 60.000/người; phần mềm tách riêng, tòa có giá khác thì cấu hình.</t>
        </is>
      </c>
      <c r="H20" s="24" t="inlineStr">
        <is>
          <t>Bên PT (giả định)</t>
        </is>
      </c>
    </row>
    <row r="21">
      <c r="A21" s="22" t="inlineStr">
        <is>
          <t>D20</t>
        </is>
      </c>
      <c r="B21" s="22" t="inlineStr">
        <is>
          <t>Giá &amp; hợp đồng</t>
        </is>
      </c>
      <c r="C21" s="22" t="inlineStr">
        <is>
          <t>Tình trạng Đủ / Thiếu / Chưa TT</t>
        </is>
      </c>
      <c r="D21" s="22" t="inlineStr">
        <is>
          <t>Đã đóng bằng cần đóng / đóng một phần / chưa đóng.</t>
        </is>
      </c>
      <c r="E21" s="25" t="inlineStr">
        <is>
          <t>Đã trả lời</t>
        </is>
      </c>
      <c r="F21" s="24" t="inlineStr"/>
      <c r="G21" s="24" t="inlineStr"/>
      <c r="H21" s="24" t="inlineStr"/>
    </row>
    <row r="22">
      <c r="A22" s="22" t="inlineStr">
        <is>
          <t>D21</t>
        </is>
      </c>
      <c r="B22" s="22" t="inlineStr">
        <is>
          <t>Giá &amp; hợp đồng</t>
        </is>
      </c>
      <c r="C22" s="22" t="inlineStr">
        <is>
          <t>Công nợ</t>
        </is>
      </c>
      <c r="D22" s="22" t="inlineStr">
        <is>
          <t>Tổng cần đóng − Tổng đã đóng (âm = khách còn nợ).</t>
        </is>
      </c>
      <c r="E22" s="25" t="inlineStr">
        <is>
          <t>Đã trả lời</t>
        </is>
      </c>
      <c r="F22" s="24" t="inlineStr"/>
      <c r="G22" s="24" t="inlineStr">
        <is>
          <t>[KH trả lời 06/09/2026] (câu 14) Một khoản thu chuyển từ «hóa đơn» sang «công nợ» sau 5 ngày kể từ khi có hóa đơn.</t>
        </is>
      </c>
      <c r="H22" s="24" t="inlineStr">
        <is>
          <t>KH</t>
        </is>
      </c>
    </row>
    <row r="23">
      <c r="A23" s="22" t="inlineStr">
        <is>
          <t>D22</t>
        </is>
      </c>
      <c r="B23" s="22" t="inlineStr">
        <is>
          <t>Giá &amp; hợp đồng</t>
        </is>
      </c>
      <c r="C23" s="22" t="inlineStr">
        <is>
          <t>Cọc khách cũ / Cọc</t>
        </is>
      </c>
      <c r="D23" s="22" t="inlineStr">
        <is>
          <t>Cọc đang giữ của khách hiện tại / cọc thu mới trong tháng.</t>
        </is>
      </c>
      <c r="E23" s="23" t="inlineStr">
        <is>
          <t>Chờ xác nhận</t>
        </is>
      </c>
      <c r="F23" s="24" t="inlineStr"/>
      <c r="G23" s="24" t="inlineStr">
        <is>
          <t>[GIẢ ĐỊNH bên PT – cần KH xác nhận] Cọc khách cũ = số cọc đang giữ của HĐ hiện hành (Deposit đang giữ); Cọc = khoản cọc thu mới trong tháng (HĐ mới hoặc cọc bổ sung).</t>
        </is>
      </c>
      <c r="H23" s="24" t="inlineStr">
        <is>
          <t>Bên PT (giả định)</t>
        </is>
      </c>
    </row>
    <row r="24">
      <c r="A24" s="22" t="inlineStr">
        <is>
          <t>D23</t>
        </is>
      </c>
      <c r="B24" s="22" t="inlineStr">
        <is>
          <t>Trạng thái phòng</t>
        </is>
      </c>
      <c r="C24" s="22" t="inlineStr">
        <is>
          <t>Phòng mới</t>
        </is>
      </c>
      <c r="D24" s="22" t="inlineStr">
        <is>
          <t>Phòng có hợp đồng mới với ngày vào ở trong tháng (kể cả phòng cũ có khách mới).</t>
        </is>
      </c>
      <c r="E24" s="23" t="inlineStr">
        <is>
          <t>Chờ xác nhận</t>
        </is>
      </c>
      <c r="F24" s="24" t="inlineStr"/>
      <c r="G24" s="24" t="inlineStr">
        <is>
          <t>[GIẢ ĐỊNH bên PT – cần KH xác nhận] Phòng mới = HĐ mới có ngày vào ở trong tháng (kể cả phòng cũ có khách mới); không tính đổi phòng nội bộ và gia hạn.</t>
        </is>
      </c>
      <c r="H24" s="24" t="inlineStr">
        <is>
          <t>Bên PT (giả định)</t>
        </is>
      </c>
    </row>
    <row r="25">
      <c r="A25" s="22" t="inlineStr">
        <is>
          <t>D24</t>
        </is>
      </c>
      <c r="B25" s="22" t="inlineStr">
        <is>
          <t>Trạng thái phòng</t>
        </is>
      </c>
      <c r="C25" s="22" t="inlineStr">
        <is>
          <t>Phòng trống</t>
        </is>
      </c>
      <c r="D25" s="22" t="inlineStr">
        <is>
          <t>ĐÃ TRẢ LỜI: phòng chưa có người thuê. Phòng trống cuối tháng = phòng hết hợp đồng vào cuối tháng và sẽ trống.</t>
        </is>
      </c>
      <c r="E25" s="25" t="inlineStr">
        <is>
          <t>Đã trả lời</t>
        </is>
      </c>
      <c r="F25" s="24" t="inlineStr"/>
      <c r="G25" s="24" t="inlineStr">
        <is>
          <t>[File 'nội dung làm web' 31/08/2026] Phòng trống tách 3 loại: (1) trống ở luôn trong tháng, (2) trống hết tháng, (3) đang chờ. [KH trả lời 06/09/2026] (câu 21) Phòng phát sinh do hoàn cọc/phá HĐ cần kiểm tra/dọn dẹp trước khi đưa lại thị trường.</t>
        </is>
      </c>
      <c r="H25" s="24" t="inlineStr">
        <is>
          <t>KH</t>
        </is>
      </c>
    </row>
    <row r="26">
      <c r="A26" s="22" t="inlineStr">
        <is>
          <t>D25</t>
        </is>
      </c>
      <c r="B26" s="22" t="inlineStr">
        <is>
          <t>Trạng thái phòng</t>
        </is>
      </c>
      <c r="C26" s="22" t="inlineStr">
        <is>
          <t>Phòng phá hợp đồng</t>
        </is>
      </c>
      <c r="D26" s="22" t="inlineStr">
        <is>
          <t>Hợp đồng kết thúc TRƯỚC hạn do phía khách; tính vào tháng có ngày ra thực tế.</t>
        </is>
      </c>
      <c r="E26" s="25" t="inlineStr">
        <is>
          <t>Đã trả lời</t>
        </is>
      </c>
      <c r="F26" s="24" t="inlineStr"/>
      <c r="G26" s="24" t="inlineStr">
        <is>
          <t>[KH trả lời 22/09/2026] Không báo trước (35 ngày) mà rời đi = phá hợp đồng; thu nợ ở phần khách hàng phá hợp đồng. [GIẢ ĐỊNH bên PT theo chuẩn kế toán &amp; thực tế DN – cần KH xác nhận] Rời trước ngày hết HĐ cũng tính phá HĐ; tính vào tháng có ngày ra thực tế / ngày xác nhận bỏ.</t>
        </is>
      </c>
      <c r="H26" s="24" t="inlineStr">
        <is>
          <t>KH 22/09 + Bên PT</t>
        </is>
      </c>
    </row>
    <row r="27">
      <c r="A27" s="22" t="inlineStr">
        <is>
          <t>D26</t>
        </is>
      </c>
      <c r="B27" s="22" t="inlineStr">
        <is>
          <t>Trạng thái phòng</t>
        </is>
      </c>
      <c r="C27" s="22" t="inlineStr">
        <is>
          <t>Khách chuyển phòng nội bộ</t>
        </is>
      </c>
      <c r="D27" s="22" t="inlineStr">
        <is>
          <t>Không tính phòng mới / phá HĐ; cọc chuyển theo.</t>
        </is>
      </c>
      <c r="E27" s="23" t="inlineStr">
        <is>
          <t>Chờ xác nhận</t>
        </is>
      </c>
      <c r="F27" s="24" t="inlineStr"/>
      <c r="G27" s="24" t="inlineStr">
        <is>
          <t>[GIẢ ĐỊNH bên PT – cần KH xác nhận] Sự kiện «đổi phòng» trên cùng HĐ: không tính phòng mới/phá HĐ, cọc và hoa hồng giữ nguyên.</t>
        </is>
      </c>
      <c r="H27" s="24" t="inlineStr">
        <is>
          <t>Bên PT (giả định)</t>
        </is>
      </c>
    </row>
    <row r="28">
      <c r="A28" s="22" t="inlineStr">
        <is>
          <t>D27</t>
        </is>
      </c>
      <c r="B28" s="22" t="inlineStr">
        <is>
          <t>Trạng thái phòng</t>
        </is>
      </c>
      <c r="C28" s="22" t="inlineStr">
        <is>
          <t>Khách bỏ cọc</t>
        </is>
      </c>
      <c r="D28" s="22" t="inlineStr">
        <is>
          <t>Đã đặt cọc (có thể ở vài ngày) rồi bỏ, không ký hợp đồng dài hạn.</t>
        </is>
      </c>
      <c r="E28" s="23" t="inlineStr">
        <is>
          <t>Chờ xác nhận</t>
        </is>
      </c>
      <c r="F28" s="24" t="inlineStr"/>
      <c r="G28" s="24" t="inlineStr">
        <is>
          <t>[GIẢ ĐỊNH bên PT – cần KH xác nhận] Khách bỏ cọc = đã đóng cọc (có thể ở vài ngày) rồi không ký/không ở tiếp; cọc bị giữ lại = «doanh thu phá hợp đồng»; không đếm là phòng mới nếu chưa vào ở.</t>
        </is>
      </c>
      <c r="H28" s="24" t="inlineStr">
        <is>
          <t>Bên PT (giả định)</t>
        </is>
      </c>
    </row>
    <row r="29">
      <c r="A29" s="22" t="inlineStr">
        <is>
          <t>D28</t>
        </is>
      </c>
      <c r="B29" s="22" t="inlineStr">
        <is>
          <t>Trạng thái phòng</t>
        </is>
      </c>
      <c r="C29" s="22" t="inlineStr">
        <is>
          <t>Hợp đồng hết hạn đúng ngày</t>
        </is>
      </c>
      <c r="D29" s="22" t="inlineStr">
        <is>
          <t>Không phải phá hợp đồng; phòng trống nếu không gia hạn.</t>
        </is>
      </c>
      <c r="E29" s="25" t="inlineStr">
        <is>
          <t>Đã trả lời</t>
        </is>
      </c>
      <c r="F29" s="24" t="inlineStr"/>
      <c r="G29" s="24" t="inlineStr">
        <is>
          <t>[KH trả lời 22/09/2026] Trước 35 ngày lập danh sách; quản lý xác nhận không thuê nữa hoặc tự gia hạn bằng HĐ lần mới (có thể đổi thời hạn, giá, điều khoản).</t>
        </is>
      </c>
      <c r="H29" s="24" t="inlineStr">
        <is>
          <t>KH 22/09 + Bên PT</t>
        </is>
      </c>
    </row>
    <row r="30">
      <c r="A30" s="22" t="inlineStr">
        <is>
          <t>D29</t>
        </is>
      </c>
      <c r="B30" s="22" t="inlineStr">
        <is>
          <t>Chỉ tiêu tài chính</t>
        </is>
      </c>
      <c r="C30" s="22" t="inlineStr">
        <is>
          <t>Tổng doanh thu</t>
        </is>
      </c>
      <c r="D30" s="22" t="inlineStr">
        <is>
          <t>Tổng tiền khách thực đóng trong tháng (cột «Tổng đã đóng»), gồm cọc mới, cọc bỏ, đã trừ hoàn cọc.</t>
        </is>
      </c>
      <c r="E30" s="25" t="inlineStr">
        <is>
          <t>Đã trả lời</t>
        </is>
      </c>
      <c r="F30" s="24" t="inlineStr"/>
      <c r="G30" s="24" t="inlineStr">
        <is>
          <t>[KH trả lời 22/09/2026] Cọc khách bỏ không tính thêm (đã nằm trong cọc phòng mới); điện nước đã lên hóa đơn là doanh thu.
[GIẢ ĐỊNH bên PT theo chuẩn kế toán &amp; thực tế DN – cần KH xác nhận] BC dòng tiền: Tổng DT = Σ tiền thực đóng trong tháng (tiền phòng + dịch vụ + cọc mới + thu khác) − hoàn cọc; dòng «cọc khách bỏ» chỉ theo dõi. BC kinh doanh: Tổng DT = tiền phòng + dịch vụ + thu khác theo hóa đơn phát hành trong tháng + thu nhập khác (cọc giữ lại, khấu trừ cọc); không gồm cọc thu/hoàn.</t>
        </is>
      </c>
      <c r="H30" s="24" t="inlineStr">
        <is>
          <t>KH 22/09 + Bên PT</t>
        </is>
      </c>
    </row>
    <row r="31">
      <c r="A31" s="22" t="inlineStr">
        <is>
          <t>D30</t>
        </is>
      </c>
      <c r="B31" s="22" t="inlineStr">
        <is>
          <t>Chỉ tiêu tài chính</t>
        </is>
      </c>
      <c r="C31" s="22" t="inlineStr">
        <is>
          <t>Cọc phòng mới</t>
        </is>
      </c>
      <c r="D31" s="22" t="inlineStr">
        <is>
          <t>ĐÃ TRẢ LỜI: cọc thu của phòng có khách mới vào ở trong tháng.</t>
        </is>
      </c>
      <c r="E31" s="25" t="inlineStr">
        <is>
          <t>Đã trả lời</t>
        </is>
      </c>
      <c r="F31" s="24" t="inlineStr"/>
      <c r="G31" s="24" t="inlineStr"/>
      <c r="H31" s="24" t="inlineStr"/>
    </row>
    <row r="32">
      <c r="A32" s="22" t="inlineStr">
        <is>
          <t>D31</t>
        </is>
      </c>
      <c r="B32" s="22" t="inlineStr">
        <is>
          <t>Chỉ tiêu tài chính</t>
        </is>
      </c>
      <c r="C32" s="22" t="inlineStr">
        <is>
          <t>Cọc khách bỏ không ở</t>
        </is>
      </c>
      <c r="D32" s="22" t="inlineStr">
        <is>
          <t>Phần cọc bị mất khi khách bỏ; ghi nhận tháng khách báo bỏ.</t>
        </is>
      </c>
      <c r="E32" s="25" t="inlineStr">
        <is>
          <t>Đã trả lời</t>
        </is>
      </c>
      <c r="F32" s="24" t="inlineStr"/>
      <c r="G32" s="24" t="inlineStr">
        <is>
          <t>[KH trả lời 22/09/2026] Cọc khách bỏ: phòng đó không có hoàn cọc, không tính lại vào báo cáo. [GIẢ ĐỊNH bên PT theo chuẩn kế toán &amp; thực tế DN – cần KH xác nhận] Dòng memo trên BC dòng tiền; trên BC kinh doanh là thu nhập khác tại tháng khách bỏ.</t>
        </is>
      </c>
      <c r="H32" s="24" t="inlineStr">
        <is>
          <t>KH 22/09 + Bên PT</t>
        </is>
      </c>
    </row>
    <row r="33">
      <c r="A33" s="22" t="inlineStr">
        <is>
          <t>D32</t>
        </is>
      </c>
      <c r="B33" s="22" t="inlineStr">
        <is>
          <t>Chỉ tiêu tài chính</t>
        </is>
      </c>
      <c r="C33" s="22" t="inlineStr">
        <is>
          <t>Hoàn cọc</t>
        </is>
      </c>
      <c r="D33" s="22" t="inlineStr">
        <is>
          <t>Tiền cọc trả lại khách trong tháng (sau khấu trừ).</t>
        </is>
      </c>
      <c r="E33" s="25" t="inlineStr">
        <is>
          <t>Đã trả lời</t>
        </is>
      </c>
      <c r="F33" s="24" t="inlineStr"/>
      <c r="G33" s="24" t="inlineStr">
        <is>
          <t>[KH trả lời 06/09/2026] (câu 17) Hoàn cọc = cọc − khấu hao cố định 200.000đ/phòng − sửa chữa, vệ sinh… theo thực tế; admin/kế toán duyệt. [File 'nội dung làm web' 31/08/2026] Danh sách hoàn cọc: mã phòng tòa, số tiền hoàn, tiền cọc, chi phí khấu hao, sửa chữa, vệ sinh, khác.</t>
        </is>
      </c>
      <c r="H33" s="24" t="inlineStr">
        <is>
          <t>KH</t>
        </is>
      </c>
    </row>
    <row r="34">
      <c r="A34" s="22" t="inlineStr">
        <is>
          <t>D33</t>
        </is>
      </c>
      <c r="B34" s="22" t="inlineStr">
        <is>
          <t>Chỉ tiêu tài chính</t>
        </is>
      </c>
      <c r="C34" s="22" t="inlineStr">
        <is>
          <t>Doanh thu tiền phòng</t>
        </is>
      </c>
      <c r="D34" s="22" t="inlineStr">
        <is>
          <t>Tổng tiền phòng đã thu, trừ phòng đã trả, cộng tiền theo ngày của phòng mới.</t>
        </is>
      </c>
      <c r="E34" s="25" t="inlineStr">
        <is>
          <t>Đã trả lời</t>
        </is>
      </c>
      <c r="F34" s="24" t="inlineStr"/>
      <c r="G34" s="24" t="inlineStr"/>
      <c r="H34" s="24" t="inlineStr"/>
    </row>
    <row r="35">
      <c r="A35" s="22" t="inlineStr">
        <is>
          <t>D34</t>
        </is>
      </c>
      <c r="B35" s="22" t="inlineStr">
        <is>
          <t>Chỉ tiêu tài chính</t>
        </is>
      </c>
      <c r="C35" s="22" t="inlineStr">
        <is>
          <t>Doanh thu dịch vụ (7 loại)</t>
        </is>
      </c>
      <c r="D35" s="22" t="inlineStr">
        <is>
          <t>Điện, nước, vệ sinh, mạng, xe điện, thang máy, máy giặt.</t>
        </is>
      </c>
      <c r="E35" s="25" t="inlineStr">
        <is>
          <t>Đã trả lời</t>
        </is>
      </c>
      <c r="F35" s="24" t="inlineStr"/>
      <c r="G35" s="24" t="inlineStr"/>
      <c r="H35" s="24" t="inlineStr"/>
    </row>
    <row r="36">
      <c r="A36" s="22" t="inlineStr">
        <is>
          <t>D35</t>
        </is>
      </c>
      <c r="B36" s="22" t="inlineStr">
        <is>
          <t>Chỉ tiêu tài chính</t>
        </is>
      </c>
      <c r="C36" s="22" t="inlineStr">
        <is>
          <t>Tiền thuê nhà 1 tháng</t>
        </is>
      </c>
      <c r="D36" s="22" t="inlineStr">
        <is>
          <t>Tiền trả chủ nhà theo hợp đồng đầu vào (mẫu: 114 triệu/tháng).</t>
        </is>
      </c>
      <c r="E36" s="25" t="inlineStr">
        <is>
          <t>Đã trả lời</t>
        </is>
      </c>
      <c r="F36" s="24" t="inlineStr"/>
      <c r="G36" s="24" t="inlineStr"/>
      <c r="H36" s="24" t="inlineStr"/>
    </row>
    <row r="37">
      <c r="A37" s="22" t="inlineStr">
        <is>
          <t>D36</t>
        </is>
      </c>
      <c r="B37" s="22" t="inlineStr">
        <is>
          <t>Chỉ tiêu tài chính</t>
        </is>
      </c>
      <c r="C37" s="22" t="inlineStr">
        <is>
          <t>Mua thêm thiết bị</t>
        </is>
      </c>
      <c r="D37" s="22" t="inlineStr">
        <is>
          <t>Thiết bị mua trong tháng cho tòa, tính thẳng vào giá vốn (không khấu hao).</t>
        </is>
      </c>
      <c r="E37" s="25" t="inlineStr">
        <is>
          <t>Đã trả lời</t>
        </is>
      </c>
      <c r="F37" s="24" t="inlineStr"/>
      <c r="G37" s="24" t="inlineStr">
        <is>
          <t>[KH trả lời 22/09/2026] 1 lần (dòng tiền) / khấu hao (kinh doanh). [GIẢ ĐỊNH bên PT theo chuẩn kế toán &amp; thực tế DN – cần KH xác nhận] Chính sách khấu hao xem Q16.</t>
        </is>
      </c>
      <c r="H37" s="24" t="inlineStr">
        <is>
          <t>KH 22/09 + Bên PT</t>
        </is>
      </c>
    </row>
    <row r="38">
      <c r="A38" s="22" t="inlineStr">
        <is>
          <t>D37</t>
        </is>
      </c>
      <c r="B38" s="22" t="inlineStr">
        <is>
          <t>Chỉ tiêu tài chính</t>
        </is>
      </c>
      <c r="C38" s="22" t="inlineStr">
        <is>
          <t>Giá gốc dịch vụ</t>
        </is>
      </c>
      <c r="D38" s="22" t="inlineStr">
        <is>
          <t>ĐÃ TRẢ LỜI: tiền thực trả nhà cung cấp điện/nước/mạng/rác/môi trường/thang máy theo tòa/tháng – import vào mục quản lý chi phí.</t>
        </is>
      </c>
      <c r="E38" s="25" t="inlineStr">
        <is>
          <t>Đã trả lời</t>
        </is>
      </c>
      <c r="F38" s="24" t="inlineStr"/>
      <c r="G38" s="24" t="inlineStr"/>
      <c r="H38" s="24" t="inlineStr"/>
    </row>
    <row r="39">
      <c r="A39" s="22" t="inlineStr">
        <is>
          <t>D38</t>
        </is>
      </c>
      <c r="B39" s="22" t="inlineStr">
        <is>
          <t>Chỉ tiêu tài chính</t>
        </is>
      </c>
      <c r="C39" s="22" t="inlineStr">
        <is>
          <t>Giá vốn (GV)</t>
        </is>
      </c>
      <c r="D39" s="22" t="inlineStr">
        <is>
          <t>Tiền thuê nhà + thiết bị + giá gốc dịch vụ.</t>
        </is>
      </c>
      <c r="E39" s="25" t="inlineStr">
        <is>
          <t>Đã trả lời</t>
        </is>
      </c>
      <c r="F39" s="24" t="inlineStr"/>
      <c r="G39" s="24" t="inlineStr"/>
      <c r="H39" s="24" t="inlineStr"/>
    </row>
    <row r="40">
      <c r="A40" s="22" t="inlineStr">
        <is>
          <t>D39</t>
        </is>
      </c>
      <c r="B40" s="22" t="inlineStr">
        <is>
          <t>Chỉ tiêu tài chính</t>
        </is>
      </c>
      <c r="C40" s="22" t="inlineStr">
        <is>
          <t>Chi phí vận hành (các dòng lương)</t>
        </is>
      </c>
      <c r="D40" s="22" t="inlineStr">
        <is>
          <t>Lương cố định chia theo số phòng + lương hiệu suất ghi thẳng vào tòa.</t>
        </is>
      </c>
      <c r="E40" s="25" t="inlineStr">
        <is>
          <t>Đã trả lời</t>
        </is>
      </c>
      <c r="F40" s="24" t="inlineStr"/>
      <c r="G40" s="24" t="inlineStr">
        <is>
          <t>[KH trả lời 22/09/2026] Lương cố định theo level; lương hiệu suất, cổ phần và các phần khác tính riêng theo bảng lương. [GIẢ ĐỊNH bên PT theo chuẩn kế toán &amp; thực tế DN – cần KH xác nhận] Trên báo cáo tòa: lương cố định phân bổ theo số phòng + lương hiệu suất ghi thẳng tòa; phần chia cổ phần không vào chi phí lương.</t>
        </is>
      </c>
      <c r="H40" s="24" t="inlineStr">
        <is>
          <t>KH 22/09 + Bên PT</t>
        </is>
      </c>
    </row>
    <row r="41">
      <c r="A41" s="22" t="inlineStr">
        <is>
          <t>D40</t>
        </is>
      </c>
      <c r="B41" s="22" t="inlineStr">
        <is>
          <t>Chỉ tiêu tài chính</t>
        </is>
      </c>
      <c r="C41" s="22" t="inlineStr">
        <is>
          <t>Chi phí bán hàng phát sinh</t>
        </is>
      </c>
      <c r="D41" s="22" t="inlineStr">
        <is>
          <t>Marketing, hoa hồng, sửa chữa / thay thế / bảo trì, chi phí khác.</t>
        </is>
      </c>
      <c r="E41" s="25" t="inlineStr">
        <is>
          <t>Đã trả lời</t>
        </is>
      </c>
      <c r="F41" s="24" t="inlineStr"/>
      <c r="G41" s="24" t="inlineStr"/>
      <c r="H41" s="24" t="inlineStr"/>
    </row>
    <row r="42">
      <c r="A42" s="22" t="inlineStr">
        <is>
          <t>D41</t>
        </is>
      </c>
      <c r="B42" s="22" t="inlineStr">
        <is>
          <t>Chỉ tiêu tài chính</t>
        </is>
      </c>
      <c r="C42" s="22" t="inlineStr">
        <is>
          <t>CPBH (Tổng chi phí bán hàng)</t>
        </is>
      </c>
      <c r="D42" s="22" t="inlineStr">
        <is>
          <t>Trên báo cáo = TOÀN BỘ chi phí ngoài giá vốn (kể cả lương, văn phòng).</t>
        </is>
      </c>
      <c r="E42" s="25" t="inlineStr">
        <is>
          <t>Đã trả lời</t>
        </is>
      </c>
      <c r="F42" s="24" t="inlineStr"/>
      <c r="G42" s="24" t="inlineStr"/>
      <c r="H42" s="24" t="inlineStr"/>
    </row>
    <row r="43">
      <c r="A43" s="22" t="inlineStr">
        <is>
          <t>D42</t>
        </is>
      </c>
      <c r="B43" s="22" t="inlineStr">
        <is>
          <t>Chỉ tiêu tài chính</t>
        </is>
      </c>
      <c r="C43" s="22" t="inlineStr">
        <is>
          <t>TCP / LNG / LNR</t>
        </is>
      </c>
      <c r="D43" s="22" t="inlineStr">
        <is>
          <t>Tổng chi phí = GV + CPBH; Lợi nhuận gộp = DT − GV; Lợi nhuận ròng = DT − TCP.</t>
        </is>
      </c>
      <c r="E43" s="25" t="inlineStr">
        <is>
          <t>Đã trả lời</t>
        </is>
      </c>
      <c r="F43" s="24" t="inlineStr"/>
      <c r="G43" s="24" t="inlineStr"/>
      <c r="H43" s="24" t="inlineStr"/>
    </row>
    <row r="44">
      <c r="A44" s="22" t="inlineStr">
        <is>
          <t>D43</t>
        </is>
      </c>
      <c r="B44" s="22" t="inlineStr">
        <is>
          <t>Chỉ tiêu tài chính</t>
        </is>
      </c>
      <c r="C44" s="22" t="inlineStr">
        <is>
          <t>Vốn (bảng cổ phần)</t>
        </is>
      </c>
      <c r="D44" s="22">
        <f> Tiền thuê nhà 1 tháng × % cổ đông.</f>
        <v/>
      </c>
      <c r="E44" s="23" t="inlineStr">
        <is>
          <t>Chờ xác nhận</t>
        </is>
      </c>
      <c r="F44" s="24" t="inlineStr"/>
      <c r="G44" s="24" t="inlineStr">
        <is>
          <t>[Căn cứ file KH gửi 22/09] Công thức bảng cổ phần: Vốn = % × Tiền thuê nhà 1 tháng. [GIẢ ĐỊNH bên PT – cần KH xác nhận] Giữ cách trình bày này trên báo cáo tháng; vốn góp lũy kế thực (cọc, tiền nhà kỳ đầu, môi giới, đầu tư ban đầu) theo dõi ở module Cổ đông.</t>
        </is>
      </c>
      <c r="H44" s="24" t="inlineStr">
        <is>
          <t>Bên PT (giả định)</t>
        </is>
      </c>
    </row>
    <row r="45">
      <c r="A45" s="22" t="inlineStr">
        <is>
          <t>D44</t>
        </is>
      </c>
      <c r="B45" s="22" t="inlineStr">
        <is>
          <t>Chỉ tiêu tài chính</t>
        </is>
      </c>
      <c r="C45" s="22" t="inlineStr">
        <is>
          <t>Tổng nhận (cổ đông)</t>
        </is>
      </c>
      <c r="D45" s="22">
        <f> Vốn + Lợi nhuận ròng của cổ đông – để tham khảo, không phải số chi.</f>
        <v/>
      </c>
      <c r="E45" s="23" t="inlineStr">
        <is>
          <t>Chờ xác nhận</t>
        </is>
      </c>
      <c r="F45" s="24" t="inlineStr"/>
      <c r="G45" s="24" t="inlineStr">
        <is>
          <t>[GIẢ ĐỊNH bên PT – cần KH xác nhận] Tổng nhận = Vốn + LN ròng × % – chỉ để tham khảo giá trị cổ đông trong tháng; số chi thực theo quy tắc chia lũy kế (Q50, Q51).</t>
        </is>
      </c>
      <c r="H45" s="24" t="inlineStr">
        <is>
          <t>Bên PT (giả định)</t>
        </is>
      </c>
    </row>
    <row r="46">
      <c r="A46" s="22" t="inlineStr">
        <is>
          <t>D45</t>
        </is>
      </c>
      <c r="B46" s="22" t="inlineStr">
        <is>
          <t>Hiệu suất &amp; lương</t>
        </is>
      </c>
      <c r="C46" s="22" t="inlineStr">
        <is>
          <t>DT niêm yết</t>
        </is>
      </c>
      <c r="D46" s="22" t="inlineStr">
        <is>
          <t>Tổng giá niêm yết các phòng đang thuê của tòa.</t>
        </is>
      </c>
      <c r="E46" s="25" t="inlineStr">
        <is>
          <t>Đã trả lời</t>
        </is>
      </c>
      <c r="F46" s="24" t="inlineStr"/>
      <c r="G46" s="24" t="inlineStr"/>
      <c r="H46" s="24" t="inlineStr"/>
    </row>
    <row r="47">
      <c r="A47" s="22" t="inlineStr">
        <is>
          <t>D46</t>
        </is>
      </c>
      <c r="B47" s="22" t="inlineStr">
        <is>
          <t>Hiệu suất &amp; lương</t>
        </is>
      </c>
      <c r="C47" s="22" t="inlineStr">
        <is>
          <t>DT phải thu</t>
        </is>
      </c>
      <c r="D47" s="22" t="inlineStr">
        <is>
          <t>Tổng «cần đóng» (tiền phòng + dịch vụ + nợ cũ) của tòa trong tháng.</t>
        </is>
      </c>
      <c r="E47" s="25" t="inlineStr">
        <is>
          <t>Đã trả lời</t>
        </is>
      </c>
      <c r="F47" s="24" t="inlineStr"/>
      <c r="G47" s="24" t="inlineStr"/>
      <c r="H47" s="24" t="inlineStr"/>
    </row>
    <row r="48">
      <c r="A48" s="22" t="inlineStr">
        <is>
          <t>D47</t>
        </is>
      </c>
      <c r="B48" s="22" t="inlineStr">
        <is>
          <t>Hiệu suất &amp; lương</t>
        </is>
      </c>
      <c r="C48" s="22" t="inlineStr">
        <is>
          <t>Mốc M1 / M2 / M3</t>
        </is>
      </c>
      <c r="D48" s="22" t="inlineStr">
        <is>
          <t>Số tiền thu lũy kế đến ngày 5 / 10 / 15; DT mốc = phần tăng thêm giữa các mốc.</t>
        </is>
      </c>
      <c r="E48" s="25" t="inlineStr">
        <is>
          <t>Đã trả lời</t>
        </is>
      </c>
      <c r="F48" s="24" t="inlineStr"/>
      <c r="G48" s="24" t="inlineStr">
        <is>
          <t>[Căn cứ file KH gửi 22/09] Sheet cập nhật thu tiền: DT MỐC 1 = thu lũy kế đến ngày 5; DT MỐC 2 = (thu đến ngày 10 − đến ngày 5) × 90%; DT MỐC 3 = (thu đến ngày 15 − đến ngày 10) × 70%. → Có trọng số 100/90/70%.</t>
        </is>
      </c>
      <c r="H48" s="24" t="inlineStr">
        <is>
          <t>Bên PT (giả định)</t>
        </is>
      </c>
    </row>
    <row r="49">
      <c r="A49" s="22" t="inlineStr">
        <is>
          <t>D48</t>
        </is>
      </c>
      <c r="B49" s="22" t="inlineStr">
        <is>
          <t>Hiệu suất &amp; lương</t>
        </is>
      </c>
      <c r="C49" s="22" t="inlineStr">
        <is>
          <t>DT thu thêm</t>
        </is>
      </c>
      <c r="D49" s="22" t="inlineStr">
        <is>
          <t>Tiền thu sau mốc 3 nhưng trước ngày chốt lương (hoặc thu nợ cũ).</t>
        </is>
      </c>
      <c r="E49" s="25" t="inlineStr">
        <is>
          <t>Đã trả lời</t>
        </is>
      </c>
      <c r="F49" s="24" t="inlineStr"/>
      <c r="G49" s="24" t="inlineStr">
        <is>
          <t>[Căn cứ file KH gửi 22/09] Bảng lương tháng 8: DT thu thêm = tiền phòng khách mới vào giữa tháng (giá/31 × ngày ở). [GIẢ ĐỊNH bên PT – cần KH xác nhận] = doanh thu phát sinh ngoài DT phải thu đầu kỳ mà quản lý đã thu (phòng mới, phụ thu), không áp trọng số.</t>
        </is>
      </c>
      <c r="H49" s="24" t="inlineStr">
        <is>
          <t>Bên PT (giả định)</t>
        </is>
      </c>
    </row>
    <row r="50">
      <c r="A50" s="22" t="inlineStr">
        <is>
          <t>D49</t>
        </is>
      </c>
      <c r="B50" s="22" t="inlineStr">
        <is>
          <t>Hiệu suất &amp; lương</t>
        </is>
      </c>
      <c r="C50" s="22" t="inlineStr">
        <is>
          <t>Tổng DT thu được</t>
        </is>
      </c>
      <c r="D50" s="22" t="inlineStr">
        <is>
          <t>Phần TIỀN PHÒNG đã thu dùng tính hiệu suất (đã loại phần dịch vụ theo tỷ lệ).</t>
        </is>
      </c>
      <c r="E50" s="25" t="inlineStr">
        <is>
          <t>Đã trả lời</t>
        </is>
      </c>
      <c r="F50" s="24" t="inlineStr"/>
      <c r="G50" s="24" t="inlineStr">
        <is>
          <t>[Đối chiếu công thức file nguồn KH gửi 22/09/2026] Bảng lương gốc: T = P − P×R + S (đã loại dịch vụ theo tỷ lệ, cộng DT thu thêm).</t>
        </is>
      </c>
      <c r="H50" s="24" t="inlineStr">
        <is>
          <t>Đối chiếu file</t>
        </is>
      </c>
    </row>
    <row r="51">
      <c r="A51" s="22" t="inlineStr">
        <is>
          <t>D50</t>
        </is>
      </c>
      <c r="B51" s="22" t="inlineStr">
        <is>
          <t>Hiệu suất &amp; lương</t>
        </is>
      </c>
      <c r="C51" s="22" t="inlineStr">
        <is>
          <t>Hiệu suất (%)</t>
        </is>
      </c>
      <c r="D51" s="22">
        <f> Tổng DT thu được ÷ DT niêm yết × 100.</f>
        <v/>
      </c>
      <c r="E51" s="25" t="inlineStr">
        <is>
          <t>Đã trả lời</t>
        </is>
      </c>
      <c r="F51" s="24" t="inlineStr"/>
      <c r="G51" s="24" t="inlineStr">
        <is>
          <t>[Đối chiếu công thức file nguồn KH gửi 22/09/2026] Bảng lương gốc: U = T / K × 100.</t>
        </is>
      </c>
      <c r="H51" s="24" t="inlineStr">
        <is>
          <t>Đối chiếu file</t>
        </is>
      </c>
    </row>
    <row r="52">
      <c r="A52" s="22" t="inlineStr">
        <is>
          <t>D51</t>
        </is>
      </c>
      <c r="B52" s="22" t="inlineStr">
        <is>
          <t>Hiệu suất &amp; lương</t>
        </is>
      </c>
      <c r="C52" s="22" t="inlineStr">
        <is>
          <t>Mức lương / phòng</t>
        </is>
      </c>
      <c r="D52" s="22" t="inlineStr">
        <is>
          <t>Đơn giá theo bậc nhân viên × hiệu suất, có ngưỡng giảm.</t>
        </is>
      </c>
      <c r="E52" s="23" t="inlineStr">
        <is>
          <t>Chờ xác nhận</t>
        </is>
      </c>
      <c r="F52" s="24" t="inlineStr"/>
      <c r="G52" s="24" t="inlineStr">
        <is>
          <t>[Đối chiếu công thức file nguồn KH gửi 22/09/2026] Mức lương/phòng = Hiệu suất × Đơn giá bậc ÷ Ngưỡng bậc (xem Q30).
[GIẢ ĐỊNH bên PT – cần KH xác nhận] Mức lương/phòng = Hiệu suất × Đơn giá bậc ÷ Ngưỡng bậc, bậc theo bảng Q30; tòa mới 100.000 cố định.</t>
        </is>
      </c>
      <c r="H52" s="24" t="inlineStr">
        <is>
          <t>Đối chiếu file + Bên PT (giả định)</t>
        </is>
      </c>
    </row>
    <row r="53">
      <c r="A53" s="22" t="inlineStr">
        <is>
          <t>D52</t>
        </is>
      </c>
      <c r="B53" s="22" t="inlineStr">
        <is>
          <t>Hiệu suất &amp; lương</t>
        </is>
      </c>
      <c r="C53" s="22" t="inlineStr">
        <is>
          <t>Lương trưởng nhóm / Lương hỗ trợ</t>
        </is>
      </c>
      <c r="D53" s="22" t="inlineStr">
        <is>
          <t>Khoản cố định theo quyết định hàng tháng.</t>
        </is>
      </c>
      <c r="E53" s="25" t="inlineStr">
        <is>
          <t>Đã trả lời</t>
        </is>
      </c>
      <c r="F53" s="24" t="inlineStr"/>
      <c r="G53" s="24" t="inlineStr">
        <is>
          <t>[Đối chiếu công thức file nguồn KH gửi 22/09/2026] Lương trưởng nhóm = 10.000đ × số phòng dưới quyền; lương hỗ trợ nhập tay.</t>
        </is>
      </c>
      <c r="H53" s="24" t="inlineStr">
        <is>
          <t>Đối chiếu file</t>
        </is>
      </c>
    </row>
    <row r="54">
      <c r="A54" s="22" t="inlineStr">
        <is>
          <t>D53</t>
        </is>
      </c>
      <c r="B54" s="22" t="inlineStr">
        <is>
          <t>Hiệu suất &amp; lương</t>
        </is>
      </c>
      <c r="C54" s="22" t="inlineStr">
        <is>
          <t>DT phá HĐ / Tỷ lệ phá HĐ</t>
        </is>
      </c>
      <c r="D54" s="22" t="inlineStr">
        <is>
          <t>Doanh thu mất do phá hợp đồng / DT phải thu của tòa.</t>
        </is>
      </c>
      <c r="E54" s="25" t="inlineStr">
        <is>
          <t>Đã trả lời</t>
        </is>
      </c>
      <c r="F54" s="24" t="inlineStr"/>
      <c r="G54" s="24" t="inlineStr"/>
      <c r="H54" s="24" t="inlineStr"/>
    </row>
    <row r="55">
      <c r="A55" s="22" t="inlineStr">
        <is>
          <t>D54</t>
        </is>
      </c>
      <c r="B55" s="22" t="inlineStr">
        <is>
          <t>Hoa hồng</t>
        </is>
      </c>
      <c r="C55" s="22" t="inlineStr">
        <is>
          <t>Giá chốt</t>
        </is>
      </c>
      <c r="D55" s="22" t="inlineStr">
        <is>
          <t>Giá phòng ký hợp đồng (cơ sở hoa hồng); với bỏ cọc = cọc mất sau khi trừ ngày đã ở.</t>
        </is>
      </c>
      <c r="E55" s="25" t="inlineStr">
        <is>
          <t>Đã trả lời</t>
        </is>
      </c>
      <c r="F55" s="24" t="inlineStr"/>
      <c r="G55" s="24" t="inlineStr"/>
      <c r="H55" s="24" t="inlineStr"/>
    </row>
    <row r="56">
      <c r="A56" s="22" t="inlineStr">
        <is>
          <t>D55</t>
        </is>
      </c>
      <c r="B56" s="22" t="inlineStr">
        <is>
          <t>Hoa hồng</t>
        </is>
      </c>
      <c r="C56" s="22" t="inlineStr">
        <is>
          <t>Mức HH</t>
        </is>
      </c>
      <c r="D56" s="22" t="inlineStr">
        <is>
          <t>50% (môi giới ngoài / lead) · 35% (nhân viên) · HĐ &lt; 6 tháng: mức ÷ 6 × số tháng · trùng nguồn: ÷ số nguồn.</t>
        </is>
      </c>
      <c r="E56" s="23" t="inlineStr">
        <is>
          <t>Chờ xác nhận</t>
        </is>
      </c>
      <c r="F56" s="24" t="inlineStr"/>
      <c r="G56" s="24" t="inlineStr">
        <is>
          <t>[GIẢ ĐỊNH bên PT – cần KH xác nhận] Mức HH: đối tác/lead 50%, nhân viên 35% giá chốt; HĐ &lt; 6 tháng = mức ÷ 6 × số tháng; trùng n nguồn = mức ÷ n; bỏ cọc tính trên cọc bị mất.</t>
        </is>
      </c>
      <c r="H56" s="24" t="inlineStr">
        <is>
          <t>Bên PT (giả định)</t>
        </is>
      </c>
    </row>
    <row r="57">
      <c r="A57" s="22" t="inlineStr">
        <is>
          <t>D56</t>
        </is>
      </c>
      <c r="B57" s="22" t="inlineStr">
        <is>
          <t>Hoa hồng</t>
        </is>
      </c>
      <c r="C57" s="22" t="inlineStr">
        <is>
          <t>Tình trạng TT «đủ»</t>
        </is>
      </c>
      <c r="D57" s="22" t="inlineStr">
        <is>
          <t>ĐÃ TRẢ LỜI: khách đã đóng đủ cọc và đã làm xong hợp đồng.</t>
        </is>
      </c>
      <c r="E57" s="25" t="inlineStr">
        <is>
          <t>Đã trả lời</t>
        </is>
      </c>
      <c r="F57" s="24" t="inlineStr"/>
      <c r="G57" s="24" t="inlineStr">
        <is>
          <t>[KH trả lời 06/09/2026] (câu 19) Đủ = khách đóng đủ cọc 1 và ký hợp đồng.</t>
        </is>
      </c>
      <c r="H57" s="24" t="inlineStr">
        <is>
          <t>KH</t>
        </is>
      </c>
    </row>
    <row r="58">
      <c r="A58" s="22" t="inlineStr">
        <is>
          <t>D57</t>
        </is>
      </c>
      <c r="B58" s="22" t="inlineStr">
        <is>
          <t>Hoa hồng</t>
        </is>
      </c>
      <c r="C58" s="22" t="inlineStr">
        <is>
          <t>Ngày TT «Đã tt»</t>
        </is>
      </c>
      <c r="D58" s="22" t="inlineStr">
        <is>
          <t>Đã chuyển hoa hồng cho người nhận.</t>
        </is>
      </c>
      <c r="E58" s="25" t="inlineStr">
        <is>
          <t>Đã trả lời</t>
        </is>
      </c>
      <c r="F58" s="24" t="inlineStr"/>
      <c r="G58" s="24" t="inlineStr"/>
      <c r="H58" s="24" t="inlineStr"/>
    </row>
    <row r="59">
      <c r="A59" s="22" t="inlineStr">
        <is>
          <t>D58</t>
        </is>
      </c>
      <c r="B59" s="22" t="inlineStr">
        <is>
          <t>Hoa hồng</t>
        </is>
      </c>
      <c r="C59" s="22" t="inlineStr">
        <is>
          <t>Tổng nhận</t>
        </is>
      </c>
      <c r="D59" s="22" t="inlineStr">
        <is>
          <t>Gộp các deal cùng người nhận trong tháng → 1 lần chuyển khoản.</t>
        </is>
      </c>
      <c r="E59" s="25" t="inlineStr">
        <is>
          <t>Đã trả lời</t>
        </is>
      </c>
      <c r="F59" s="24" t="inlineStr"/>
      <c r="G59" s="24" t="inlineStr"/>
      <c r="H59" s="24" t="inlineStr"/>
    </row>
  </sheetData>
  <autoFilter ref="A1:H59"/>
  <dataValidations count="1">
    <dataValidation sqref="F2:F59" showDropDown="0" showInputMessage="0" showErrorMessage="0" allowBlank="1" promptTitle="Xác nhận" prompt="Chọn: Đúng / Sai - xem cột trả lời / Cần trao đổi thêm" type="list">
      <formula1>"Đúng,Sai - xem cột trả lời,Cần trao đổi thêm"</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30" customWidth="1" min="3" max="3"/>
    <col width="60" customWidth="1" min="4" max="4"/>
    <col width="32" customWidth="1" min="5" max="5"/>
    <col width="15" customWidth="1" min="6" max="6"/>
    <col width="18" customWidth="1" min="7" max="7"/>
    <col width="50" customWidth="1" min="8" max="8"/>
    <col width="14" customWidth="1" min="9" max="9"/>
  </cols>
  <sheetData>
    <row r="1">
      <c r="A1" s="10" t="inlineStr">
        <is>
          <t>Mã</t>
        </is>
      </c>
      <c r="B1" s="10" t="inlineStr">
        <is>
          <t>Nhóm</t>
        </is>
      </c>
      <c r="C1" s="10" t="inlineStr">
        <is>
          <t>Chỉ tiêu</t>
        </is>
      </c>
      <c r="D1" s="10" t="inlineStr">
        <is>
          <t>Công thức (cách hiểu hiện tại)</t>
        </is>
      </c>
      <c r="E1" s="10" t="inlineStr">
        <is>
          <t>Nguồn</t>
        </is>
      </c>
      <c r="F1" s="10" t="inlineStr">
        <is>
          <t>Trạng thái</t>
        </is>
      </c>
      <c r="G1" s="10" t="inlineStr">
        <is>
          <t>Xác nhận
(chọn)</t>
        </is>
      </c>
      <c r="H1" s="10" t="inlineStr">
        <is>
          <t>Công thức đúng / bổ sung của công ty</t>
        </is>
      </c>
      <c r="I1" s="10" t="inlineStr">
        <is>
          <t>Người trả lời</t>
        </is>
      </c>
    </row>
    <row r="2">
      <c r="A2" s="22" t="inlineStr">
        <is>
          <t>F01</t>
        </is>
      </c>
      <c r="B2" s="22" t="inlineStr">
        <is>
          <t>Báo cáo tòa – doanh thu</t>
        </is>
      </c>
      <c r="C2" s="22" t="inlineStr">
        <is>
          <t>Tổng doanh thu</t>
        </is>
      </c>
      <c r="D2" s="22">
        <f> Tổng cột «Tổng đã đóng» của sổ tòa trong tháng</f>
        <v/>
      </c>
      <c r="E2" s="22" t="inlineStr">
        <is>
          <t>Đọc từ ô công thức file G1 (C2)</t>
        </is>
      </c>
      <c r="F2" s="25" t="inlineStr">
        <is>
          <t>Đã trả lời</t>
        </is>
      </c>
      <c r="G2" s="24" t="inlineStr"/>
      <c r="H2" s="24" t="inlineStr">
        <is>
          <t>[Đối chiếu công thức file nguồn KH gửi 22/09/2026] G1 tháng 8: C2 = 'HĐ T8.26'!AX2 − C7 → Tổng doanh thu = Tổng đã đóng − Hoàn cọc.</t>
        </is>
      </c>
      <c r="I2" s="24" t="inlineStr">
        <is>
          <t>Đối chiếu file</t>
        </is>
      </c>
    </row>
    <row r="3">
      <c r="A3" s="22" t="inlineStr">
        <is>
          <t>F02</t>
        </is>
      </c>
      <c r="B3" s="22" t="inlineStr">
        <is>
          <t>Báo cáo tòa – doanh thu</t>
        </is>
      </c>
      <c r="C3" s="22" t="inlineStr">
        <is>
          <t>Doanh thu tiền phòng</t>
        </is>
      </c>
      <c r="D3" s="22">
        <f> Σ Giá phòng hiện tại − Σ giá của phòng đã trả trong tháng + Σ tiền phòng theo ngày của phòng mới</f>
        <v/>
      </c>
      <c r="E3" s="22" t="inlineStr">
        <is>
          <t>Đọc từ ô công thức file G1 (C12)</t>
        </is>
      </c>
      <c r="F3" s="25" t="inlineStr">
        <is>
          <t>Đã trả lời</t>
        </is>
      </c>
      <c r="G3" s="24" t="inlineStr"/>
      <c r="H3" s="24" t="inlineStr">
        <is>
          <t>[KH trả lời 22/09/2026] Điện nước trên hóa đơn là doanh thu; cọc bỏ không cộng lại. [GIẢ ĐỊNH bên PT theo chuẩn kế toán &amp; thực tế DN – cần KH xác nhận] Phần mềm: DT tiền phòng = Σ dòng «Tiền phòng» hóa đơn (BC kinh doanh: phát hành trong kỳ; BC dòng tiền: đã thu trong kỳ).</t>
        </is>
      </c>
      <c r="I3" s="24" t="inlineStr">
        <is>
          <t>KH 22/09 + Bên PT</t>
        </is>
      </c>
    </row>
    <row r="4">
      <c r="A4" s="22" t="inlineStr">
        <is>
          <t>F03</t>
        </is>
      </c>
      <c r="B4" s="22" t="inlineStr">
        <is>
          <t>Báo cáo tòa – doanh thu</t>
        </is>
      </c>
      <c r="C4" s="22" t="inlineStr">
        <is>
          <t>Doanh thu điện</t>
        </is>
      </c>
      <c r="D4" s="22">
        <f> Σ Điện thành tiền (KHÔNG trừ phòng đã trả)</f>
        <v/>
      </c>
      <c r="E4" s="22" t="inlineStr">
        <is>
          <t>Đọc từ ô công thức (C13)</t>
        </is>
      </c>
      <c r="F4" s="23" t="inlineStr">
        <is>
          <t>Chờ xác nhận</t>
        </is>
      </c>
      <c r="G4" s="24" t="inlineStr"/>
      <c r="H4" s="24" t="inlineStr">
        <is>
          <t>[GIẢ ĐỊNH bên PT – cần KH xác nhận] Phần mềm: Doanh thu điện = Σ dòng «Điện» + «Điện chung» của hóa đơn đã thu trong kỳ (kể cả hóa đơn cuối của phòng đã trả). Không cần trừ/cộng tay.</t>
        </is>
      </c>
      <c r="I4" s="24" t="inlineStr">
        <is>
          <t>Bên PT (giả định)</t>
        </is>
      </c>
    </row>
    <row r="5">
      <c r="A5" s="22" t="inlineStr">
        <is>
          <t>F04</t>
        </is>
      </c>
      <c r="B5" s="22" t="inlineStr">
        <is>
          <t>Báo cáo tòa – doanh thu</t>
        </is>
      </c>
      <c r="C5" s="22" t="inlineStr">
        <is>
          <t>Doanh thu nước / mạng / thang máy</t>
        </is>
      </c>
      <c r="D5" s="22">
        <f> Σ thành tiền − phòng đã trả + phòng mới</f>
        <v/>
      </c>
      <c r="E5" s="22" t="inlineStr">
        <is>
          <t>Đọc từ ô công thức (C14, C16, C18)</t>
        </is>
      </c>
      <c r="F5" s="23" t="inlineStr">
        <is>
          <t>Chờ xác nhận</t>
        </is>
      </c>
      <c r="G5" s="24" t="inlineStr"/>
      <c r="H5" s="24" t="inlineStr">
        <is>
          <t>[GIẢ ĐỊNH bên PT – cần KH xác nhận] Phần mềm: = Σ dòng dịch vụ tương ứng trên hóa đơn đã thu trong kỳ (tự nhiên gồm phòng mới, gồm hóa đơn cuối phòng đã trả). Cách trừ tay trong file chỉ là do phòng đã trả không còn dòng hóa đơn.</t>
        </is>
      </c>
      <c r="I5" s="24" t="inlineStr">
        <is>
          <t>Bên PT (giả định)</t>
        </is>
      </c>
    </row>
    <row r="6">
      <c r="A6" s="22" t="inlineStr">
        <is>
          <t>F05</t>
        </is>
      </c>
      <c r="B6" s="22" t="inlineStr">
        <is>
          <t>Báo cáo tòa – doanh thu</t>
        </is>
      </c>
      <c r="C6" s="22" t="inlineStr">
        <is>
          <t>Doanh thu xe điện</t>
        </is>
      </c>
      <c r="D6" s="22">
        <f> Σ thành tiền − phòng đã trả</f>
        <v/>
      </c>
      <c r="E6" s="22" t="inlineStr">
        <is>
          <t>Đọc từ ô công thức (C17)</t>
        </is>
      </c>
      <c r="F6" s="25" t="inlineStr">
        <is>
          <t>Đã trả lời</t>
        </is>
      </c>
      <c r="G6" s="24" t="inlineStr"/>
      <c r="H6" s="24" t="inlineStr"/>
      <c r="I6" s="24" t="inlineStr"/>
    </row>
    <row r="7">
      <c r="A7" s="22" t="inlineStr">
        <is>
          <t>F06</t>
        </is>
      </c>
      <c r="B7" s="22" t="inlineStr">
        <is>
          <t>Báo cáo tòa – doanh thu</t>
        </is>
      </c>
      <c r="C7" s="22" t="inlineStr">
        <is>
          <t>Doanh thu vệ sinh = Doanh thu máy giặt</t>
        </is>
      </c>
      <c r="D7" s="22">
        <f> (Σ Combo DV khác − phòng đã trả + phòng mới) ÷ 2</f>
        <v/>
      </c>
      <c r="E7" s="22" t="inlineStr">
        <is>
          <t>Đọc từ ô công thức (C15, C19)</t>
        </is>
      </c>
      <c r="F7" s="23" t="inlineStr">
        <is>
          <t>Chờ xác nhận</t>
        </is>
      </c>
      <c r="G7" s="24" t="inlineStr"/>
      <c r="H7" s="24" t="inlineStr">
        <is>
          <t>[GIẢ ĐỊNH bên PT – cần KH xác nhận] Phần mềm: 2 dịch vụ riêng «Vệ sinh» và «Máy giặt» (60.000/người mỗi loại, override theo tòa); báo cáo = Σ từng dịch vụ, không chia đôi.</t>
        </is>
      </c>
      <c r="I7" s="24" t="inlineStr">
        <is>
          <t>Bên PT (giả định)</t>
        </is>
      </c>
    </row>
    <row r="8">
      <c r="A8" s="22" t="inlineStr">
        <is>
          <t>F07</t>
        </is>
      </c>
      <c r="B8" s="22" t="inlineStr">
        <is>
          <t>Báo cáo tòa – doanh thu</t>
        </is>
      </c>
      <c r="C8" s="22" t="inlineStr">
        <is>
          <t>Doanh thu tổng dịch vụ</t>
        </is>
      </c>
      <c r="D8" s="22">
        <f> Σ 7 dòng dịch vụ</f>
        <v/>
      </c>
      <c r="E8" s="22" t="inlineStr">
        <is>
          <t>Đọc từ ô công thức (C20)</t>
        </is>
      </c>
      <c r="F8" s="25" t="inlineStr">
        <is>
          <t>Đã trả lời</t>
        </is>
      </c>
      <c r="G8" s="24" t="inlineStr"/>
      <c r="H8" s="24" t="inlineStr"/>
      <c r="I8" s="24" t="inlineStr"/>
    </row>
    <row r="9">
      <c r="A9" s="22" t="inlineStr">
        <is>
          <t>F08</t>
        </is>
      </c>
      <c r="B9" s="22" t="inlineStr">
        <is>
          <t>Báo cáo tòa – giá vốn</t>
        </is>
      </c>
      <c r="C9" s="22" t="inlineStr">
        <is>
          <t>Giá vốn (GV)</t>
        </is>
      </c>
      <c r="D9" s="22">
        <f> Tiền thuê nhà + Mua thiết bị + Σ giá gốc điện, nước, mạng, rác, môi trường, thang máy</f>
        <v/>
      </c>
      <c r="E9" s="22" t="inlineStr">
        <is>
          <t>Đọc từ ô công thức (C34)</t>
        </is>
      </c>
      <c r="F9" s="25" t="inlineStr">
        <is>
          <t>Đã trả lời</t>
        </is>
      </c>
      <c r="G9" s="24" t="inlineStr"/>
      <c r="H9" s="24" t="inlineStr"/>
      <c r="I9" s="24" t="inlineStr"/>
    </row>
    <row r="10">
      <c r="A10" s="22" t="inlineStr">
        <is>
          <t>F09</t>
        </is>
      </c>
      <c r="B10" s="22" t="inlineStr">
        <is>
          <t>Báo cáo tòa – chi phí</t>
        </is>
      </c>
      <c r="C10" s="22" t="inlineStr">
        <is>
          <t>Lương quản lý tổng</t>
        </is>
      </c>
      <c r="D10" s="22">
        <f> (12.000.000 ÷ Tổng phòng hệ thống) × Số phòng của tòa   [tháng 6: 1.303 phòng]</f>
        <v/>
      </c>
      <c r="E10" s="22" t="inlineStr">
        <is>
          <t>Đọc từ ô công thức (C36)</t>
        </is>
      </c>
      <c r="F10" s="23" t="inlineStr">
        <is>
          <t>Chờ xác nhận</t>
        </is>
      </c>
      <c r="G10" s="24" t="inlineStr"/>
      <c r="H10" s="24" t="inlineStr">
        <is>
          <t>[GIẢ ĐỊNH bên PT – cần KH xác nhận] = (Tổng lương chức danh «Quản lý tổng» tháng từ bảng lương khóa ÷ N) × n; N = tổng phòng quản lý cuối tháng, n = số phòng tòa.</t>
        </is>
      </c>
      <c r="I10" s="24" t="inlineStr">
        <is>
          <t>Bên PT (giả định)</t>
        </is>
      </c>
    </row>
    <row r="11">
      <c r="A11" s="22" t="inlineStr">
        <is>
          <t>F10</t>
        </is>
      </c>
      <c r="B11" s="22" t="inlineStr">
        <is>
          <t>Báo cáo tòa – chi phí</t>
        </is>
      </c>
      <c r="C11" s="22" t="inlineStr">
        <is>
          <t>Lương trưởng phòng vận hành</t>
        </is>
      </c>
      <c r="D11" s="22">
        <f> (21.000.000 ÷ Tổng phòng) × Số phòng tòa + 10.000 × Số phòng tòa</f>
        <v/>
      </c>
      <c r="E11" s="22" t="inlineStr">
        <is>
          <t>Đọc từ ô công thức (C37)</t>
        </is>
      </c>
      <c r="F11" s="23" t="inlineStr">
        <is>
          <t>Chờ xác nhận</t>
        </is>
      </c>
      <c r="G11" s="24" t="inlineStr"/>
      <c r="H11" s="24" t="inlineStr">
        <is>
          <t>[GIẢ ĐỊNH bên PT – cần KH xác nhận] = (Tổng lương cố định TPVH ÷ N) × n + 10.000 × n. (10.000/phòng chính là «lương trưởng nhóm» = 10.000 × số phòng dưới quyền.)</t>
        </is>
      </c>
      <c r="I11" s="24" t="inlineStr">
        <is>
          <t>Bên PT (giả định)</t>
        </is>
      </c>
    </row>
    <row r="12">
      <c r="A12" s="22" t="inlineStr">
        <is>
          <t>F11</t>
        </is>
      </c>
      <c r="B12" s="22" t="inlineStr">
        <is>
          <t>Báo cáo tòa – chi phí</t>
        </is>
      </c>
      <c r="C12" s="22" t="inlineStr">
        <is>
          <t>Lương nhân viên nguồn</t>
        </is>
      </c>
      <c r="D12" s="22">
        <f> (3.000.000 ÷ Tổng phòng) × Số phòng tòa</f>
        <v/>
      </c>
      <c r="E12" s="22" t="inlineStr">
        <is>
          <t>Đọc từ ô công thức (C39)</t>
        </is>
      </c>
      <c r="F12" s="23" t="inlineStr">
        <is>
          <t>Chờ xác nhận</t>
        </is>
      </c>
      <c r="G12" s="24" t="inlineStr"/>
      <c r="H12" s="24" t="inlineStr">
        <is>
          <t>[GIẢ ĐỊNH bên PT – cần KH xác nhận] = (Tổng lương NV nguồn ÷ N) × n.</t>
        </is>
      </c>
      <c r="I12" s="24" t="inlineStr">
        <is>
          <t>Bên PT (giả định)</t>
        </is>
      </c>
    </row>
    <row r="13">
      <c r="A13" s="22" t="inlineStr">
        <is>
          <t>F12</t>
        </is>
      </c>
      <c r="B13" s="22" t="inlineStr">
        <is>
          <t>Báo cáo tòa – chi phí</t>
        </is>
      </c>
      <c r="C13" s="22" t="inlineStr">
        <is>
          <t>Lương NVKD</t>
        </is>
      </c>
      <c r="D13" s="22">
        <f> (Tổng lương NVKD tháng theo bảng lương ÷ Tổng phòng) × Số phòng tòa</f>
        <v/>
      </c>
      <c r="E13" s="22" t="inlineStr">
        <is>
          <t>Đọc từ ô công thức (C40)</t>
        </is>
      </c>
      <c r="F13" s="23" t="inlineStr">
        <is>
          <t>Chờ xác nhận</t>
        </is>
      </c>
      <c r="G13" s="24" t="inlineStr"/>
      <c r="H13" s="24" t="inlineStr">
        <is>
          <t>[GIẢ ĐỊNH bên PT – cần KH xác nhận] = (Tổng lương NVKD tháng từ bảng lương khóa ÷ N) × n.</t>
        </is>
      </c>
      <c r="I13" s="24" t="inlineStr">
        <is>
          <t>Bên PT (giả định)</t>
        </is>
      </c>
    </row>
    <row r="14">
      <c r="A14" s="22" t="inlineStr">
        <is>
          <t>F13</t>
        </is>
      </c>
      <c r="B14" s="22" t="inlineStr">
        <is>
          <t>Báo cáo tòa – chi phí</t>
        </is>
      </c>
      <c r="C14" s="22" t="inlineStr">
        <is>
          <t>Lương vệ sinh</t>
        </is>
      </c>
      <c r="D14" s="22">
        <f> 550.000 cố định mỗi tòa</f>
        <v/>
      </c>
      <c r="E14" s="22" t="inlineStr">
        <is>
          <t>Đọc từ ô (C41)</t>
        </is>
      </c>
      <c r="F14" s="23" t="inlineStr">
        <is>
          <t>Chờ xác nhận</t>
        </is>
      </c>
      <c r="G14" s="24" t="inlineStr"/>
      <c r="H14" s="24" t="inlineStr">
        <is>
          <t>[GIẢ ĐỊNH bên PT – cần KH xác nhận] = 550.000 cố định/tòa (khoán vệ sinh), cấu hình theo tòa.</t>
        </is>
      </c>
      <c r="I14" s="24" t="inlineStr">
        <is>
          <t>Bên PT (giả định)</t>
        </is>
      </c>
    </row>
    <row r="15">
      <c r="A15" s="22" t="inlineStr">
        <is>
          <t>F14</t>
        </is>
      </c>
      <c r="B15" s="22" t="inlineStr">
        <is>
          <t>Báo cáo tòa – chi phí</t>
        </is>
      </c>
      <c r="C15" s="22" t="inlineStr">
        <is>
          <t>Lương kế toán</t>
        </is>
      </c>
      <c r="D15" s="22">
        <f> 150.000 + 10.000 + (2.000.000 ÷ Tổng phòng) × Số phòng tòa</f>
        <v/>
      </c>
      <c r="E15" s="22" t="inlineStr">
        <is>
          <t>Đọc từ ô công thức (C42)</t>
        </is>
      </c>
      <c r="F15" s="23" t="inlineStr">
        <is>
          <t>Chờ xác nhận</t>
        </is>
      </c>
      <c r="G15" s="24" t="inlineStr"/>
      <c r="H15" s="24" t="inlineStr">
        <is>
          <t>[GIẢ ĐỊNH bên PT – cần KH xác nhận] = 150.000 + 10.000 (phần cố định/tòa) + (Tổng lương kế toán ÷ N) × n. Đề xuất gộp phần cố định 160.000/tòa thành tham số.</t>
        </is>
      </c>
      <c r="I15" s="24" t="inlineStr">
        <is>
          <t>Bên PT (giả định)</t>
        </is>
      </c>
    </row>
    <row r="16">
      <c r="A16" s="22" t="inlineStr">
        <is>
          <t>F15</t>
        </is>
      </c>
      <c r="B16" s="22" t="inlineStr">
        <is>
          <t>Báo cáo tòa – chi phí</t>
        </is>
      </c>
      <c r="C16" s="22" t="inlineStr">
        <is>
          <t>Lương sửa chữa</t>
        </is>
      </c>
      <c r="D16" s="22">
        <f> (22.000.000 ÷ Tổng phòng) × Số phòng tòa</f>
        <v/>
      </c>
      <c r="E16" s="22" t="inlineStr">
        <is>
          <t>Đọc từ ô công thức (C43)</t>
        </is>
      </c>
      <c r="F16" s="23" t="inlineStr">
        <is>
          <t>Chờ xác nhận</t>
        </is>
      </c>
      <c r="G16" s="24" t="inlineStr"/>
      <c r="H16" s="24" t="inlineStr">
        <is>
          <t>[GIẢ ĐỊNH bên PT – cần KH xác nhận] = (Tổng lương sửa chữa ÷ N) × n.</t>
        </is>
      </c>
      <c r="I16" s="24" t="inlineStr">
        <is>
          <t>Bên PT (giả định)</t>
        </is>
      </c>
    </row>
    <row r="17">
      <c r="A17" s="22" t="inlineStr">
        <is>
          <t>F16</t>
        </is>
      </c>
      <c r="B17" s="22" t="inlineStr">
        <is>
          <t>Báo cáo tòa – chi phí</t>
        </is>
      </c>
      <c r="C17" s="22" t="inlineStr">
        <is>
          <t>Thuê và dịch vụ văn phòng</t>
        </is>
      </c>
      <c r="D17" s="22">
        <f> (Chi phí văn phòng tháng ÷ Tổng phòng) × Số phòng tòa</f>
        <v/>
      </c>
      <c r="E17" s="22" t="inlineStr">
        <is>
          <t>Đọc từ ô công thức (C45)</t>
        </is>
      </c>
      <c r="F17" s="23" t="inlineStr">
        <is>
          <t>Chờ xác nhận</t>
        </is>
      </c>
      <c r="G17" s="24" t="inlineStr"/>
      <c r="H17" s="24" t="inlineStr">
        <is>
          <t>[GIẢ ĐỊNH bên PT – cần KH xác nhận] = (Chi phí thuê &amp; DV VP tháng, import chi phí phạm vi «toàn hệ thống» ÷ N) × n.</t>
        </is>
      </c>
      <c r="I17" s="24" t="inlineStr">
        <is>
          <t>Bên PT (giả định)</t>
        </is>
      </c>
    </row>
    <row r="18">
      <c r="A18" s="22" t="inlineStr">
        <is>
          <t>F17</t>
        </is>
      </c>
      <c r="B18" s="22" t="inlineStr">
        <is>
          <t>Báo cáo tòa – chi phí</t>
        </is>
      </c>
      <c r="C18" s="22" t="inlineStr">
        <is>
          <t>Phí marketing</t>
        </is>
      </c>
      <c r="D18" s="22">
        <f> (Chi phí marketing tháng ÷ Tổng phòng) × Số phòng tòa</f>
        <v/>
      </c>
      <c r="E18" s="22" t="inlineStr">
        <is>
          <t>Đọc từ ô công thức (C46)</t>
        </is>
      </c>
      <c r="F18" s="23" t="inlineStr">
        <is>
          <t>Chờ xác nhận</t>
        </is>
      </c>
      <c r="G18" s="24" t="inlineStr"/>
      <c r="H18" s="24" t="inlineStr">
        <is>
          <t>[GIẢ ĐỊNH bên PT – cần KH xác nhận] = (Chi phí marketing tháng, import phạm vi «toàn hệ thống» ÷ N) × n; marketing gắn riêng tòa thì cộng thẳng.</t>
        </is>
      </c>
      <c r="I18" s="24" t="inlineStr">
        <is>
          <t>Bên PT (giả định)</t>
        </is>
      </c>
    </row>
    <row r="19">
      <c r="A19" s="22" t="inlineStr">
        <is>
          <t>F18</t>
        </is>
      </c>
      <c r="B19" s="22" t="inlineStr">
        <is>
          <t>Báo cáo tòa – chi phí</t>
        </is>
      </c>
      <c r="C19" s="22" t="inlineStr">
        <is>
          <t>Tổng chi phí bán hàng (CPBH)</t>
        </is>
      </c>
      <c r="D19" s="22">
        <f> Σ (các dòng lương + văn phòng + marketing + hoa hồng + sửa chữa + chi phí khác)</f>
        <v/>
      </c>
      <c r="E19" s="22" t="inlineStr">
        <is>
          <t>Đọc từ ô công thức (C71)</t>
        </is>
      </c>
      <c r="F19" s="25" t="inlineStr">
        <is>
          <t>Đã trả lời</t>
        </is>
      </c>
      <c r="G19" s="24" t="inlineStr"/>
      <c r="H19" s="24" t="inlineStr"/>
      <c r="I19" s="24" t="inlineStr"/>
    </row>
    <row r="20">
      <c r="A20" s="22" t="inlineStr">
        <is>
          <t>F19</t>
        </is>
      </c>
      <c r="B20" s="22" t="inlineStr">
        <is>
          <t>Báo cáo tòa – lợi nhuận</t>
        </is>
      </c>
      <c r="C20" s="22" t="inlineStr">
        <is>
          <t>Tổng chi phí (TCP)</t>
        </is>
      </c>
      <c r="D20" s="22">
        <f> GV + CPBH</f>
        <v/>
      </c>
      <c r="E20" s="22" t="inlineStr">
        <is>
          <t>Đọc từ ô công thức (C72)</t>
        </is>
      </c>
      <c r="F20" s="25" t="inlineStr">
        <is>
          <t>Đã trả lời</t>
        </is>
      </c>
      <c r="G20" s="24" t="inlineStr"/>
      <c r="H20" s="24" t="inlineStr"/>
      <c r="I20" s="24" t="inlineStr"/>
    </row>
    <row r="21">
      <c r="A21" s="22" t="inlineStr">
        <is>
          <t>F20</t>
        </is>
      </c>
      <c r="B21" s="22" t="inlineStr">
        <is>
          <t>Báo cáo tòa – lợi nhuận</t>
        </is>
      </c>
      <c r="C21" s="22" t="inlineStr">
        <is>
          <t>Lợi nhuận gộp (LNG)</t>
        </is>
      </c>
      <c r="D21" s="22">
        <f> Tổng doanh thu − GV</f>
        <v/>
      </c>
      <c r="E21" s="22" t="inlineStr">
        <is>
          <t>Đọc từ ô công thức (C73)</t>
        </is>
      </c>
      <c r="F21" s="25" t="inlineStr">
        <is>
          <t>Đã trả lời</t>
        </is>
      </c>
      <c r="G21" s="24" t="inlineStr"/>
      <c r="H21" s="24" t="inlineStr"/>
      <c r="I21" s="24" t="inlineStr"/>
    </row>
    <row r="22">
      <c r="A22" s="22" t="inlineStr">
        <is>
          <t>F21</t>
        </is>
      </c>
      <c r="B22" s="22" t="inlineStr">
        <is>
          <t>Báo cáo tòa – lợi nhuận</t>
        </is>
      </c>
      <c r="C22" s="22" t="inlineStr">
        <is>
          <t>Lợi nhuận ròng (LNR)</t>
        </is>
      </c>
      <c r="D22" s="22">
        <f> Tổng doanh thu − TCP</f>
        <v/>
      </c>
      <c r="E22" s="22" t="inlineStr">
        <is>
          <t>Đọc từ ô công thức (C74)</t>
        </is>
      </c>
      <c r="F22" s="25" t="inlineStr">
        <is>
          <t>Đã trả lời</t>
        </is>
      </c>
      <c r="G22" s="24" t="inlineStr"/>
      <c r="H22" s="24" t="inlineStr"/>
      <c r="I22" s="24" t="inlineStr"/>
    </row>
    <row r="23">
      <c r="A23" s="22" t="inlineStr">
        <is>
          <t>F22</t>
        </is>
      </c>
      <c r="B23" s="22" t="inlineStr">
        <is>
          <t>Báo cáo tòa – tỷ lệ</t>
        </is>
      </c>
      <c r="C23" s="22" t="inlineStr">
        <is>
          <t>8 tỷ lệ quản trị</t>
        </is>
      </c>
      <c r="D23" s="22" t="inlineStr">
        <is>
          <t>LNR/DT · LNG/DT · LNR/GV · LNR/LNG · CP/LNG (= TCP ÷ LNG) · GV/DT · CPBH/DT · TCP/DT</t>
        </is>
      </c>
      <c r="E23" s="22" t="inlineStr">
        <is>
          <t>Đọc từ ô công thức (C76–C83)</t>
        </is>
      </c>
      <c r="F23" s="25" t="inlineStr">
        <is>
          <t>Đã trả lời</t>
        </is>
      </c>
      <c r="G23" s="24" t="inlineStr"/>
      <c r="H23" s="24" t="inlineStr"/>
      <c r="I23" s="24" t="inlineStr"/>
    </row>
    <row r="24">
      <c r="A24" s="22" t="inlineStr">
        <is>
          <t>F23</t>
        </is>
      </c>
      <c r="B24" s="22" t="inlineStr">
        <is>
          <t>Báo cáo tòa – tỷ lệ</t>
        </is>
      </c>
      <c r="C24" s="22" t="inlineStr">
        <is>
          <t>LƯƠNG/CPBH</t>
        </is>
      </c>
      <c r="D24" s="22">
        <f> Σ các dòng lương (KHÔNG gồm thuê văn phòng) ÷ CPBH</f>
        <v/>
      </c>
      <c r="E24" s="22" t="inlineStr">
        <is>
          <t>Đọc từ ô công thức (C84)</t>
        </is>
      </c>
      <c r="F24" s="25" t="inlineStr">
        <is>
          <t>Đã trả lời</t>
        </is>
      </c>
      <c r="G24" s="24" t="inlineStr"/>
      <c r="H24" s="24" t="inlineStr"/>
      <c r="I24" s="24" t="inlineStr"/>
    </row>
    <row r="25">
      <c r="A25" s="22" t="inlineStr">
        <is>
          <t>F24</t>
        </is>
      </c>
      <c r="B25" s="22" t="inlineStr">
        <is>
          <t>Báo cáo tòa – tỷ lệ</t>
        </is>
      </c>
      <c r="C25" s="22" t="inlineStr">
        <is>
          <t>HH/CPBH</t>
        </is>
      </c>
      <c r="D25" s="22">
        <f> (Marketing + Hoa hồng) ÷ CPBH</f>
        <v/>
      </c>
      <c r="E25" s="22" t="inlineStr">
        <is>
          <t>Đọc từ ô công thức (C85)</t>
        </is>
      </c>
      <c r="F25" s="25" t="inlineStr">
        <is>
          <t>Đã trả lời</t>
        </is>
      </c>
      <c r="G25" s="24" t="inlineStr"/>
      <c r="H25" s="24" t="inlineStr"/>
      <c r="I25" s="24" t="inlineStr"/>
    </row>
    <row r="26">
      <c r="A26" s="22" t="inlineStr">
        <is>
          <t>F25</t>
        </is>
      </c>
      <c r="B26" s="22" t="inlineStr">
        <is>
          <t>Báo cáo tòa – tỷ lệ</t>
        </is>
      </c>
      <c r="C26" s="22" t="inlineStr">
        <is>
          <t>CPK/CPBH</t>
        </is>
      </c>
      <c r="D26" s="22">
        <f> Chi phí khác ÷ CPBH</f>
        <v/>
      </c>
      <c r="E26" s="22" t="inlineStr">
        <is>
          <t>Đọc từ ô công thức (C86)</t>
        </is>
      </c>
      <c r="F26" s="25" t="inlineStr">
        <is>
          <t>Đã trả lời</t>
        </is>
      </c>
      <c r="G26" s="24" t="inlineStr"/>
      <c r="H26" s="24" t="inlineStr"/>
      <c r="I26" s="24" t="inlineStr"/>
    </row>
    <row r="27">
      <c r="A27" s="22" t="inlineStr">
        <is>
          <t>F26</t>
        </is>
      </c>
      <c r="B27" s="22" t="inlineStr">
        <is>
          <t>Bảng cổ phần</t>
        </is>
      </c>
      <c r="C27" s="22" t="inlineStr">
        <is>
          <t>Vốn của cổ đông</t>
        </is>
      </c>
      <c r="D27" s="22">
        <f> % cổ phần × Tiền thuê nhà 1 tháng</f>
        <v/>
      </c>
      <c r="E27" s="22" t="inlineStr">
        <is>
          <t>Đọc từ ô công thức (H3:H11)</t>
        </is>
      </c>
      <c r="F27" s="23" t="inlineStr">
        <is>
          <t>Chờ xác nhận</t>
        </is>
      </c>
      <c r="G27" s="24" t="inlineStr"/>
      <c r="H27" s="24" t="inlineStr">
        <is>
          <t>[GIẢ ĐỊNH bên PT – cần KH xác nhận] Giữ = % × Tiền thuê nhà 1 tháng cho báo cáo tháng; module Cổ đông theo dõi thêm «Vốn góp lũy kế» = Σ đợt đã đóng.</t>
        </is>
      </c>
      <c r="I27" s="24" t="inlineStr">
        <is>
          <t>Bên PT (giả định)</t>
        </is>
      </c>
    </row>
    <row r="28">
      <c r="A28" s="22" t="inlineStr">
        <is>
          <t>F27</t>
        </is>
      </c>
      <c r="B28" s="22" t="inlineStr">
        <is>
          <t>Bảng cổ phần</t>
        </is>
      </c>
      <c r="C28" s="22" t="inlineStr">
        <is>
          <t>LN gộp / LN ròng của cổ đông</t>
        </is>
      </c>
      <c r="D28" s="22">
        <f> % × LNG   /   = % × LNR</f>
        <v/>
      </c>
      <c r="E28" s="22" t="inlineStr">
        <is>
          <t>Đọc từ ô công thức (I, J)</t>
        </is>
      </c>
      <c r="F28" s="25" t="inlineStr">
        <is>
          <t>Đã trả lời</t>
        </is>
      </c>
      <c r="G28" s="24" t="inlineStr"/>
      <c r="H28" s="24" t="inlineStr"/>
      <c r="I28" s="24" t="inlineStr"/>
    </row>
    <row r="29">
      <c r="A29" s="22" t="inlineStr">
        <is>
          <t>F28</t>
        </is>
      </c>
      <c r="B29" s="22" t="inlineStr">
        <is>
          <t>Bảng cổ phần</t>
        </is>
      </c>
      <c r="C29" s="22" t="inlineStr">
        <is>
          <t>Tổng nhận của cổ đông</t>
        </is>
      </c>
      <c r="D29" s="22">
        <f> Vốn + LN ròng</f>
        <v/>
      </c>
      <c r="E29" s="22" t="inlineStr">
        <is>
          <t>Đọc từ ô công thức (M)</t>
        </is>
      </c>
      <c r="F29" s="23" t="inlineStr">
        <is>
          <t>Chờ xác nhận</t>
        </is>
      </c>
      <c r="G29" s="24" t="inlineStr"/>
      <c r="H29" s="24" t="inlineStr">
        <is>
          <t>[GIẢ ĐỊNH bên PT – cần KH xác nhận] Giữ = Vốn + LN ròng × % (tham khảo). Số chi thực = theo tài khoản lũy kế (Q50–Q51).</t>
        </is>
      </c>
      <c r="I29" s="24" t="inlineStr">
        <is>
          <t>Bên PT (giả định)</t>
        </is>
      </c>
    </row>
    <row r="30">
      <c r="A30" s="22" t="inlineStr">
        <is>
          <t>F29</t>
        </is>
      </c>
      <c r="B30" s="22" t="inlineStr">
        <is>
          <t>Báo cáo tổng</t>
        </is>
      </c>
      <c r="C30" s="22" t="inlineStr">
        <is>
          <t>DT DV / GIÁ NHẬP</t>
        </is>
      </c>
      <c r="D30" s="22">
        <f> Doanh thu tổng dịch vụ ÷ Σ giá gốc dịch vụ</f>
        <v/>
      </c>
      <c r="E30" s="22" t="inlineStr">
        <is>
          <t>Suy từ số liệu tháng 8 (sheet không còn công thức)</t>
        </is>
      </c>
      <c r="F30" s="25" t="inlineStr">
        <is>
          <t>Đã trả lời</t>
        </is>
      </c>
      <c r="G30" s="24" t="inlineStr"/>
      <c r="H30" s="24" t="inlineStr">
        <is>
          <t>[File 'nội dung làm web' 31/08/2026] Tương ứng «báo cáo âm dương điện nước» trong danh sách báo cáo KH yêu cầu.</t>
        </is>
      </c>
      <c r="I30" s="24" t="inlineStr">
        <is>
          <t>KH</t>
        </is>
      </c>
    </row>
    <row r="31">
      <c r="A31" s="22" t="inlineStr">
        <is>
          <t>F30</t>
        </is>
      </c>
      <c r="B31" s="22" t="inlineStr">
        <is>
          <t>Báo cáo tổng</t>
        </is>
      </c>
      <c r="C31" s="22" t="inlineStr">
        <is>
          <t>DT TIỀN NHÀ / GIÁ THUÊ NHÀ</t>
        </is>
      </c>
      <c r="D31" s="22">
        <f> Doanh thu tiền phòng ÷ Tiền thuê nhà</f>
        <v/>
      </c>
      <c r="E31" s="22" t="inlineStr">
        <is>
          <t>Suy từ số liệu tháng 8</t>
        </is>
      </c>
      <c r="F31" s="25" t="inlineStr">
        <is>
          <t>Đã trả lời</t>
        </is>
      </c>
      <c r="G31" s="24" t="inlineStr"/>
      <c r="H31" s="24" t="inlineStr">
        <is>
          <t>[File 'nội dung làm web' 31/08/2026] Tương ứng «biên lợi nhuận tiền nhà (tiền nhà thu/chi)».</t>
        </is>
      </c>
      <c r="I31" s="24" t="inlineStr">
        <is>
          <t>KH</t>
        </is>
      </c>
    </row>
    <row r="32">
      <c r="A32" s="22" t="inlineStr">
        <is>
          <t>F31</t>
        </is>
      </c>
      <c r="B32" s="22" t="inlineStr">
        <is>
          <t>Hoa hồng</t>
        </is>
      </c>
      <c r="C32" s="22" t="inlineStr">
        <is>
          <t>Tòa</t>
        </is>
      </c>
      <c r="D32" s="22">
        <f> lấy mã phòng bỏ 3 ký tự đầu</f>
        <v/>
      </c>
      <c r="E32" s="22" t="inlineStr">
        <is>
          <t>Đọc từ ô công thức file hoa hồng</t>
        </is>
      </c>
      <c r="F32" s="25" t="inlineStr">
        <is>
          <t>Đã trả lời</t>
        </is>
      </c>
      <c r="G32" s="24" t="inlineStr"/>
      <c r="H32" s="24" t="inlineStr"/>
      <c r="I32" s="24" t="inlineStr"/>
    </row>
    <row r="33">
      <c r="A33" s="22" t="inlineStr">
        <is>
          <t>F32</t>
        </is>
      </c>
      <c r="B33" s="22" t="inlineStr">
        <is>
          <t>Hoa hồng</t>
        </is>
      </c>
      <c r="C33" s="22" t="inlineStr">
        <is>
          <t>Thành tiền</t>
        </is>
      </c>
      <c r="D33" s="22">
        <f> Giá chốt × Mức HH</f>
        <v/>
      </c>
      <c r="E33" s="22" t="inlineStr">
        <is>
          <t>Đọc từ ô công thức</t>
        </is>
      </c>
      <c r="F33" s="25" t="inlineStr">
        <is>
          <t>Đã trả lời</t>
        </is>
      </c>
      <c r="G33" s="24" t="inlineStr"/>
      <c r="H33" s="24" t="inlineStr"/>
      <c r="I33" s="24" t="inlineStr"/>
    </row>
    <row r="34">
      <c r="A34" s="22" t="inlineStr">
        <is>
          <t>F33</t>
        </is>
      </c>
      <c r="B34" s="22" t="inlineStr">
        <is>
          <t>Hoa hồng</t>
        </is>
      </c>
      <c r="C34" s="22" t="inlineStr">
        <is>
          <t>Mức theo nguồn</t>
        </is>
      </c>
      <c r="D34" s="22">
        <f> 50% nếu Team là «(LEAD)» hoặc môi giới ngoài; 35% nếu nhân viên</f>
        <v/>
      </c>
      <c r="E34" s="22" t="inlineStr">
        <is>
          <t>Đọc từ ô công thức (cột C)</t>
        </is>
      </c>
      <c r="F34" s="23" t="inlineStr">
        <is>
          <t>Chờ xác nhận</t>
        </is>
      </c>
      <c r="G34" s="24" t="inlineStr"/>
      <c r="H34" s="24" t="inlineStr"/>
      <c r="I34" s="24" t="inlineStr"/>
    </row>
    <row r="35">
      <c r="A35" s="22" t="inlineStr">
        <is>
          <t>F34</t>
        </is>
      </c>
      <c r="B35" s="22" t="inlineStr">
        <is>
          <t>Hoa hồng</t>
        </is>
      </c>
      <c r="C35" s="22" t="inlineStr">
        <is>
          <t>Mức hợp đồng ngắn</t>
        </is>
      </c>
      <c r="D35" s="22">
        <f> 50% ÷ 6 × số tháng (3 tháng → 25%; 2 tháng → 16,67%)</f>
        <v/>
      </c>
      <c r="E35" s="22" t="inlineStr">
        <is>
          <t>Đọc từ ô công thức</t>
        </is>
      </c>
      <c r="F35" s="23" t="inlineStr">
        <is>
          <t>Chờ xác nhận</t>
        </is>
      </c>
      <c r="G35" s="24" t="inlineStr"/>
      <c r="H35" s="24" t="inlineStr"/>
      <c r="I35" s="24" t="inlineStr"/>
    </row>
    <row r="36">
      <c r="A36" s="22" t="inlineStr">
        <is>
          <t>F35</t>
        </is>
      </c>
      <c r="B36" s="22" t="inlineStr">
        <is>
          <t>Hoa hồng</t>
        </is>
      </c>
      <c r="C36" s="22" t="inlineStr">
        <is>
          <t>Trùng nguồn</t>
        </is>
      </c>
      <c r="D36" s="22">
        <f> 50% ÷ số nguồn</f>
        <v/>
      </c>
      <c r="E36" s="22" t="inlineStr">
        <is>
          <t>Đọc từ ô công thức («Trùng 3» = 50%/3)</t>
        </is>
      </c>
      <c r="F36" s="23" t="inlineStr">
        <is>
          <t>Chờ xác nhận</t>
        </is>
      </c>
      <c r="G36" s="24" t="inlineStr"/>
      <c r="H36" s="24" t="inlineStr"/>
      <c r="I36" s="24" t="inlineStr"/>
    </row>
    <row r="37">
      <c r="A37" s="22" t="inlineStr">
        <is>
          <t>F36</t>
        </is>
      </c>
      <c r="B37" s="22" t="inlineStr">
        <is>
          <t>Hoa hồng</t>
        </is>
      </c>
      <c r="C37" s="22" t="inlineStr">
        <is>
          <t>Cơ sở hoa hồng khi bỏ cọc</t>
        </is>
      </c>
      <c r="D37" s="22">
        <f> Tiền cọc − Giá thuê ÷ 31 × số ngày đã ở</f>
        <v/>
      </c>
      <c r="E37" s="22" t="inlineStr">
        <is>
          <t>Đọc từ ô công thức</t>
        </is>
      </c>
      <c r="F37" s="23" t="inlineStr">
        <is>
          <t>Chờ xác nhận</t>
        </is>
      </c>
      <c r="G37" s="24" t="inlineStr"/>
      <c r="H37" s="24" t="inlineStr"/>
      <c r="I37" s="24" t="inlineStr"/>
    </row>
    <row r="38">
      <c r="A38" s="22" t="inlineStr">
        <is>
          <t>F37</t>
        </is>
      </c>
      <c r="B38" s="22" t="inlineStr">
        <is>
          <t>Hoa hồng</t>
        </is>
      </c>
      <c r="C38" s="22" t="inlineStr">
        <is>
          <t>Khấu trừ CTV hỗ trợ</t>
        </is>
      </c>
      <c r="D38" s="22">
        <f> Thành tiền − tiền hỗ trợ CTV</f>
        <v/>
      </c>
      <c r="E38" s="22" t="inlineStr">
        <is>
          <t>Đọc từ ô công thức</t>
        </is>
      </c>
      <c r="F38" s="25" t="inlineStr">
        <is>
          <t>Đã trả lời</t>
        </is>
      </c>
      <c r="G38" s="24" t="inlineStr"/>
      <c r="H38" s="24" t="inlineStr"/>
      <c r="I38" s="24" t="inlineStr"/>
    </row>
    <row r="39">
      <c r="A39" s="22" t="inlineStr">
        <is>
          <t>F38</t>
        </is>
      </c>
      <c r="B39" s="22" t="inlineStr">
        <is>
          <t>Hoa hồng</t>
        </is>
      </c>
      <c r="C39" s="22" t="inlineStr">
        <is>
          <t>Tổng nhận</t>
        </is>
      </c>
      <c r="D39" s="22">
        <f> Σ Thành tiền các dòng cùng người nhận</f>
        <v/>
      </c>
      <c r="E39" s="22" t="inlineStr">
        <is>
          <t>Đọc từ ô công thức</t>
        </is>
      </c>
      <c r="F39" s="25" t="inlineStr">
        <is>
          <t>Đã trả lời</t>
        </is>
      </c>
      <c r="G39" s="24" t="inlineStr"/>
      <c r="H39" s="24" t="inlineStr"/>
      <c r="I39" s="24" t="inlineStr"/>
    </row>
    <row r="40">
      <c r="A40" s="22" t="inlineStr">
        <is>
          <t>F39</t>
        </is>
      </c>
      <c r="B40" s="22" t="inlineStr">
        <is>
          <t>Bảng lương</t>
        </is>
      </c>
      <c r="C40" s="22" t="inlineStr">
        <is>
          <t>Tổng DT sau 3 mốc</t>
        </is>
      </c>
      <c r="D40" s="22">
        <f> DT mốc 1 + DT mốc 2 + DT mốc 3</f>
        <v/>
      </c>
      <c r="E40" s="22" t="inlineStr">
        <is>
          <t>Suy từ số liệu (khớp)</t>
        </is>
      </c>
      <c r="F40" s="25" t="inlineStr">
        <is>
          <t>Đã trả lời</t>
        </is>
      </c>
      <c r="G40" s="24" t="inlineStr"/>
      <c r="H40" s="24" t="inlineStr">
        <is>
          <t>[KH trả lời 22/09/2026] Đúng trọng số 100/90/70%.</t>
        </is>
      </c>
      <c r="I40" s="24" t="inlineStr">
        <is>
          <t>KH 22/09 + Bên PT</t>
        </is>
      </c>
    </row>
    <row r="41">
      <c r="A41" s="22" t="inlineStr">
        <is>
          <t>F40</t>
        </is>
      </c>
      <c r="B41" s="22" t="inlineStr">
        <is>
          <t>Bảng lương</t>
        </is>
      </c>
      <c r="C41" s="22" t="inlineStr">
        <is>
          <t>Tỉ lệ DV/DT</t>
        </is>
      </c>
      <c r="D41" s="22">
        <f> Dịch vụ ÷ DT phải thu</f>
        <v/>
      </c>
      <c r="E41" s="22" t="inlineStr">
        <is>
          <t>Suy từ số liệu (khớp)</t>
        </is>
      </c>
      <c r="F41" s="25" t="inlineStr">
        <is>
          <t>Đã trả lời</t>
        </is>
      </c>
      <c r="G41" s="24" t="inlineStr"/>
      <c r="H41" s="24" t="inlineStr">
        <is>
          <t>[Đối chiếu công thức file nguồn KH gửi 22/09/2026] R = Q / L.</t>
        </is>
      </c>
      <c r="I41" s="24" t="inlineStr">
        <is>
          <t>Đối chiếu file</t>
        </is>
      </c>
    </row>
    <row r="42">
      <c r="A42" s="22" t="inlineStr">
        <is>
          <t>F41</t>
        </is>
      </c>
      <c r="B42" s="22" t="inlineStr">
        <is>
          <t>Bảng lương</t>
        </is>
      </c>
      <c r="C42" s="22" t="inlineStr">
        <is>
          <t>Tổng DT thu được</t>
        </is>
      </c>
      <c r="D42" s="22">
        <f> Tổng DT sau 3 mốc × (1 − Tỉ lệ DV/DT) + DT thu thêm</f>
        <v/>
      </c>
      <c r="E42" s="22" t="inlineStr">
        <is>
          <t>Suy từ số liệu (khớp mọi dòng)</t>
        </is>
      </c>
      <c r="F42" s="25" t="inlineStr">
        <is>
          <t>Đã trả lời</t>
        </is>
      </c>
      <c r="G42" s="24" t="inlineStr"/>
      <c r="H42" s="24" t="inlineStr">
        <is>
          <t>[Đối chiếu công thức file nguồn KH gửi 22/09/2026] T = P − P×R + S.</t>
        </is>
      </c>
      <c r="I42" s="24" t="inlineStr">
        <is>
          <t>Đối chiếu file</t>
        </is>
      </c>
    </row>
    <row r="43">
      <c r="A43" s="22" t="inlineStr">
        <is>
          <t>F42</t>
        </is>
      </c>
      <c r="B43" s="22" t="inlineStr">
        <is>
          <t>Bảng lương</t>
        </is>
      </c>
      <c r="C43" s="22" t="inlineStr">
        <is>
          <t>Hiệu suất (%)</t>
        </is>
      </c>
      <c r="D43" s="22">
        <f> Tổng DT thu được ÷ DT niêm yết × 100</f>
        <v/>
      </c>
      <c r="E43" s="22" t="inlineStr">
        <is>
          <t>Suy từ số liệu (khớp)</t>
        </is>
      </c>
      <c r="F43" s="25" t="inlineStr">
        <is>
          <t>Đã trả lời</t>
        </is>
      </c>
      <c r="G43" s="24" t="inlineStr"/>
      <c r="H43" s="24" t="inlineStr">
        <is>
          <t>[Đối chiếu công thức file nguồn KH gửi 22/09/2026] U = (T / K) × 100.</t>
        </is>
      </c>
      <c r="I43" s="24" t="inlineStr">
        <is>
          <t>Đối chiếu file</t>
        </is>
      </c>
    </row>
    <row r="44">
      <c r="A44" s="22" t="inlineStr">
        <is>
          <t>F43</t>
        </is>
      </c>
      <c r="B44" s="22" t="inlineStr">
        <is>
          <t>Bảng lương</t>
        </is>
      </c>
      <c r="C44" s="22" t="inlineStr">
        <is>
          <t>Tổng lương hiệu suất của tòa</t>
        </is>
      </c>
      <c r="D44" s="22">
        <f> Số phòng × Mức lương/phòng</f>
        <v/>
      </c>
      <c r="E44" s="22" t="inlineStr">
        <is>
          <t>Suy từ số liệu (khớp)</t>
        </is>
      </c>
      <c r="F44" s="25" t="inlineStr">
        <is>
          <t>Đã trả lời</t>
        </is>
      </c>
      <c r="G44" s="24" t="inlineStr"/>
      <c r="H44" s="24" t="inlineStr">
        <is>
          <t>[Đối chiếu công thức file nguồn KH gửi 22/09/2026] W = V × J.</t>
        </is>
      </c>
      <c r="I44" s="24" t="inlineStr">
        <is>
          <t>Đối chiếu file</t>
        </is>
      </c>
    </row>
    <row r="45">
      <c r="A45" s="22" t="inlineStr">
        <is>
          <t>F44</t>
        </is>
      </c>
      <c r="B45" s="22" t="inlineStr">
        <is>
          <t>Bảng lương</t>
        </is>
      </c>
      <c r="C45" s="22" t="inlineStr">
        <is>
          <t>Thực nhận</t>
        </is>
      </c>
      <c r="D45" s="22">
        <f> Lương cơ bản + Phụ cấp ăn trưa + Phụ cấp xăng xe + Lương trưởng nhóm + Lương hỗ trợ + Σ lương hiệu suất các tòa</f>
        <v/>
      </c>
      <c r="E45" s="22" t="inlineStr">
        <is>
          <t>Suy từ số liệu (khớp)</t>
        </is>
      </c>
      <c r="F45" s="25" t="inlineStr">
        <is>
          <t>Đã trả lời</t>
        </is>
      </c>
      <c r="G45" s="24" t="inlineStr"/>
      <c r="H45" s="24" t="inlineStr">
        <is>
          <t>[Đối chiếu công thức file nguồn KH gửi 22/09/2026] X = W(tổng lương HS) + D + E + F + G + H.</t>
        </is>
      </c>
      <c r="I45" s="24" t="inlineStr">
        <is>
          <t>Đối chiếu file</t>
        </is>
      </c>
    </row>
    <row r="46">
      <c r="A46" s="22" t="inlineStr">
        <is>
          <t>F45</t>
        </is>
      </c>
      <c r="B46" s="22" t="inlineStr">
        <is>
          <t>Bảng lương</t>
        </is>
      </c>
      <c r="C46" s="22" t="inlineStr">
        <is>
          <t>Mức lương/phòng</t>
        </is>
      </c>
      <c r="D46" s="22">
        <f> Đơn giá bậc (120.000 hoặc 130.000) × Hiệu suất × hệ số giảm khi &lt; 95%; tòa mới 100.000 cố định</f>
        <v/>
      </c>
      <c r="E46" s="22" t="inlineStr">
        <is>
          <t>Suy từ số liệu (gần khớp) – CẦN BẢNG CHÍNH THỨC</t>
        </is>
      </c>
      <c r="F46" s="23" t="inlineStr">
        <is>
          <t>Chờ xác nhận</t>
        </is>
      </c>
      <c r="G46" s="24" t="inlineStr"/>
      <c r="H46" s="24" t="inlineStr">
        <is>
          <t>[Đối chiếu công thức file nguồn KH gửi 22/09/2026] V = U × đơn_giá ÷ ngưỡng, với các cặp 130k/100, 120k/95, 119k/95, 110k/90, 109k/90, 75k/75. Cần KH chốt ngưỡng chính thức (Q30).
[GIẢ ĐỊNH bên PT – cần KH xác nhận] V = U × đơn_giá(bậc) ÷ ngưỡng(bậc) với bảng bậc đề xuất ở Q30; tòa mới 100.000.</t>
        </is>
      </c>
      <c r="I46" s="24" t="inlineStr">
        <is>
          <t>Đối chiếu file + Bên PT (giả định)</t>
        </is>
      </c>
    </row>
    <row r="47">
      <c r="A47" s="22" t="inlineStr">
        <is>
          <t>F46</t>
        </is>
      </c>
      <c r="B47" s="22" t="inlineStr">
        <is>
          <t>Cập nhật thu tiền</t>
        </is>
      </c>
      <c r="C47" s="22" t="inlineStr">
        <is>
          <t>DT mốc 1 / 2 / 3</t>
        </is>
      </c>
      <c r="D47" s="22">
        <f> Thu lũy kế đến ngày 5 / (ngày 10 − ngày 5) / (ngày 15 − ngày 10)</f>
        <v/>
      </c>
      <c r="E47" s="22" t="inlineStr">
        <is>
          <t>Suy từ số liệu (khớp)</t>
        </is>
      </c>
      <c r="F47" s="25" t="inlineStr">
        <is>
          <t>Đã trả lời</t>
        </is>
      </c>
      <c r="G47" s="24" t="inlineStr"/>
      <c r="H47" s="24" t="inlineStr">
        <is>
          <t>[KH trả lời 22/09/2026] Đúng trọng số 100/90/70%.</t>
        </is>
      </c>
      <c r="I47" s="24" t="inlineStr">
        <is>
          <t>KH 22/09 + Bên PT</t>
        </is>
      </c>
    </row>
    <row r="48">
      <c r="A48" s="22" t="inlineStr">
        <is>
          <t>F47</t>
        </is>
      </c>
      <c r="B48" s="22" t="inlineStr">
        <is>
          <t>Cập nhật thu tiền</t>
        </is>
      </c>
      <c r="C48" s="22" t="inlineStr">
        <is>
          <t>Tỉ lệ thu (%)</t>
        </is>
      </c>
      <c r="D48" s="22">
        <f> Doanh thu thu được ÷ Doanh thu phải thu</f>
        <v/>
      </c>
      <c r="E48" s="22" t="inlineStr">
        <is>
          <t>Suy từ số liệu (khớp)</t>
        </is>
      </c>
      <c r="F48" s="25" t="inlineStr">
        <is>
          <t>Đã trả lời</t>
        </is>
      </c>
      <c r="G48" s="24" t="inlineStr"/>
      <c r="H48" s="24" t="inlineStr"/>
      <c r="I48" s="24" t="inlineStr"/>
    </row>
    <row r="49">
      <c r="A49" s="22" t="inlineStr">
        <is>
          <t>F48</t>
        </is>
      </c>
      <c r="B49" s="22" t="inlineStr">
        <is>
          <t>Cập nhật thu tiền</t>
        </is>
      </c>
      <c r="C49" s="22" t="inlineStr">
        <is>
          <t>Tỉ lệ phá HĐ</t>
        </is>
      </c>
      <c r="D49" s="22">
        <f> DT phá HĐ ÷ DT phải thu</f>
        <v/>
      </c>
      <c r="E49" s="22" t="inlineStr">
        <is>
          <t>Suy từ số liệu (khớp)</t>
        </is>
      </c>
      <c r="F49" s="25" t="inlineStr">
        <is>
          <t>Đã trả lời</t>
        </is>
      </c>
      <c r="G49" s="24" t="inlineStr"/>
      <c r="H49" s="24" t="inlineStr"/>
      <c r="I49" s="24" t="inlineStr"/>
    </row>
    <row r="50">
      <c r="A50" s="22" t="inlineStr">
        <is>
          <t>F49</t>
        </is>
      </c>
      <c r="B50" s="22" t="inlineStr">
        <is>
          <t>Hóa đơn</t>
        </is>
      </c>
      <c r="C50" s="22" t="inlineStr">
        <is>
          <t>Tiền phòng theo ngày</t>
        </is>
      </c>
      <c r="D50" s="22">
        <f> Giá × ngày ở ÷ 30  (sổ tòa)  HAY  ÷ số ngày thực của tháng (file hoa hồng dùng 31)?</f>
        <v/>
      </c>
      <c r="E50" s="22" t="inlineStr">
        <is>
          <t>Mâu thuẫn giữa 2 file</t>
        </is>
      </c>
      <c r="F50" s="23" t="inlineStr">
        <is>
          <t>Chờ xác nhận</t>
        </is>
      </c>
      <c r="G50" s="24" t="inlineStr"/>
      <c r="H50" s="24" t="inlineStr">
        <is>
          <t>[GIẢ ĐỊNH bên PT theo chuẩn kế toán &amp; thực tế DN – cần KH xác nhận] Chuẩn hóa = giá ÷ 30 × số ngày ở cho mọi chỗ (hóa đơn, hoa hồng, bảng lương).</t>
        </is>
      </c>
      <c r="I50" s="24" t="inlineStr">
        <is>
          <t>KH 22/09 + Bên PT</t>
        </is>
      </c>
    </row>
    <row r="51">
      <c r="A51" s="22" t="inlineStr">
        <is>
          <t>F50</t>
        </is>
      </c>
      <c r="B51" s="22" t="inlineStr">
        <is>
          <t>Báo cáo tòa – chi phí</t>
        </is>
      </c>
      <c r="C51" s="22" t="inlineStr">
        <is>
          <t>Lương quản lý tòa (dòng C35)</t>
        </is>
      </c>
      <c r="D51" s="22" t="inlineStr">
        <is>
          <t>Lấy từ ô nào của bảng lương? Là lương hiệu suất của tòa hay số phân bổ?</t>
        </is>
      </c>
      <c r="E51" s="22" t="inlineStr">
        <is>
          <t>Số dán tay trong file G1</t>
        </is>
      </c>
      <c r="F51" s="23" t="inlineStr">
        <is>
          <t>Chờ xác nhận</t>
        </is>
      </c>
      <c r="G51" s="24" t="inlineStr"/>
      <c r="H51" s="24" t="inlineStr">
        <is>
          <t>[GIẢ ĐỊNH bên PT – cần KH xác nhận] Lương quản lý tòa trên báo cáo = lương hiệu suất của tòa (số phòng × mức/phòng) + (lương cố định + phụ cấp + hỗ trợ của quản lý ÷ tổng phòng người đó quản lý) × số phòng tòa. Lấy từ bảng lương khóa.</t>
        </is>
      </c>
      <c r="I51" s="24" t="inlineStr">
        <is>
          <t>Bên PT (giả định)</t>
        </is>
      </c>
    </row>
    <row r="52">
      <c r="A52" s="22" t="inlineStr">
        <is>
          <t>F51</t>
        </is>
      </c>
      <c r="B52" s="22" t="inlineStr">
        <is>
          <t>Bảng lương</t>
        </is>
      </c>
      <c r="C52" s="22" t="inlineStr">
        <is>
          <t>Lương trưởng nhóm TPVH / TNVH</t>
        </is>
      </c>
      <c r="D52" s="22" t="inlineStr">
        <is>
          <t>Cố định hay = % tổng lương hiệu suất của team?</t>
        </is>
      </c>
      <c r="E52" s="22" t="inlineStr">
        <is>
          <t>Chưa có</t>
        </is>
      </c>
      <c r="F52" s="25" t="inlineStr">
        <is>
          <t>Đã trả lời</t>
        </is>
      </c>
      <c r="G52" s="24" t="inlineStr"/>
      <c r="H52" s="24" t="inlineStr">
        <is>
          <t>[Đối chiếu công thức file nguồn KH gửi 22/09/2026] G = 10.000 × số phòng dưới quyền (774 × 10.000; 408 × 10.000).</t>
        </is>
      </c>
      <c r="I52" s="24" t="inlineStr">
        <is>
          <t>Đối chiếu file</t>
        </is>
      </c>
    </row>
    <row r="53">
      <c r="A53" s="22" t="inlineStr">
        <is>
          <t>F52</t>
        </is>
      </c>
      <c r="B53" s="22" t="inlineStr">
        <is>
          <t>Bảng lương</t>
        </is>
      </c>
      <c r="C53" s="22" t="inlineStr">
        <is>
          <t>Hệ số ngưỡng hiệu suất</t>
        </is>
      </c>
      <c r="D53" s="22" t="inlineStr">
        <is>
          <t>Bảng bậc chính thức (&lt; 95%, &lt; 93%, &lt; 90% …)</t>
        </is>
      </c>
      <c r="E53" s="22" t="inlineStr">
        <is>
          <t>Chưa có</t>
        </is>
      </c>
      <c r="F53" s="23" t="inlineStr">
        <is>
          <t>Chờ xác nhận</t>
        </is>
      </c>
      <c r="G53" s="24" t="inlineStr"/>
      <c r="H53" s="24" t="inlineStr">
        <is>
          <t>[Đối chiếu công thức file nguồn KH gửi 22/09/2026] Cấu trúc bậc đã rõ (xem F45), ngưỡng chọn tay → cần bảng chính thức.
[GIẢ ĐỊNH bên PT – cần KH xác nhận] Bảng ngưỡng đề xuất: ≥98% → 130k/100; 95–98 → 120k/95; 93–95 → 119k/95; 91–93 → 110k/90; 88–91 → 109k/90; 75–88 → 75k/75; &lt;75 → 0.</t>
        </is>
      </c>
      <c r="I53" s="24" t="inlineStr">
        <is>
          <t>Đối chiếu file + Bên PT (giả định)</t>
        </is>
      </c>
    </row>
    <row r="54">
      <c r="A54" s="22" t="inlineStr">
        <is>
          <t>F53</t>
        </is>
      </c>
      <c r="B54" s="22" t="inlineStr">
        <is>
          <t>Báo cáo tòa – chi phí</t>
        </is>
      </c>
      <c r="C54" s="22" t="inlineStr">
        <is>
          <t>Tổng phòng hệ thống (mẫu số chia chi phí)</t>
        </is>
      </c>
      <c r="D54" s="22" t="inlineStr">
        <is>
          <t>Tổng phòng đang quản lý hay đang thuê; lấy tại thời điểm nào?</t>
        </is>
      </c>
      <c r="E54" s="22" t="inlineStr">
        <is>
          <t>Chưa có</t>
        </is>
      </c>
      <c r="F54" s="23" t="inlineStr">
        <is>
          <t>Chờ xác nhận</t>
        </is>
      </c>
      <c r="G54" s="24" t="inlineStr"/>
      <c r="H54" s="24" t="inlineStr">
        <is>
          <t>[GIẢ ĐỊNH bên PT – cần KH xác nhận] N = tổng phòng đang quản lý toàn hệ thống tại ngày cuối tháng (kể cả trống), snapshot theo kỳ.</t>
        </is>
      </c>
      <c r="I54" s="24" t="inlineStr">
        <is>
          <t>Bên PT (giả định)</t>
        </is>
      </c>
    </row>
    <row r="55">
      <c r="A55" s="22" t="inlineStr">
        <is>
          <t>F54</t>
        </is>
      </c>
      <c r="B55" s="22" t="inlineStr">
        <is>
          <t>Báo cáo tòa – chi phí</t>
        </is>
      </c>
      <c r="C55" s="22" t="inlineStr">
        <is>
          <t>Lương vệ sinh 550.000</t>
        </is>
      </c>
      <c r="D55" s="22" t="inlineStr">
        <is>
          <t>Cố định mọi tòa hay theo diện tích / số phòng?</t>
        </is>
      </c>
      <c r="E55" s="22" t="inlineStr">
        <is>
          <t>Chưa có</t>
        </is>
      </c>
      <c r="F55" s="23" t="inlineStr">
        <is>
          <t>Chờ xác nhận</t>
        </is>
      </c>
      <c r="G55" s="24" t="inlineStr"/>
      <c r="H55" s="24" t="inlineStr">
        <is>
          <t>[GIẢ ĐỊNH bên PT – cần KH xác nhận] 550.000/tòa cố định, override theo tòa.</t>
        </is>
      </c>
      <c r="I55" s="24" t="inlineStr">
        <is>
          <t>Bên PT (giả định)</t>
        </is>
      </c>
    </row>
    <row r="56">
      <c r="A56" s="22" t="inlineStr">
        <is>
          <t>F55</t>
        </is>
      </c>
      <c r="B56" s="22" t="inlineStr">
        <is>
          <t>Hóa đơn</t>
        </is>
      </c>
      <c r="C56" s="22" t="inlineStr">
        <is>
          <t>Điện chung</t>
        </is>
      </c>
      <c r="D56" s="22" t="inlineStr">
        <is>
          <t>Cách chia cho các phòng</t>
        </is>
      </c>
      <c r="E56" s="22" t="inlineStr">
        <is>
          <t>Chưa có</t>
        </is>
      </c>
      <c r="F56" s="23" t="inlineStr">
        <is>
          <t>Chờ xác nhận</t>
        </is>
      </c>
      <c r="G56" s="24" t="inlineStr"/>
      <c r="H56" s="24" t="inlineStr">
        <is>
          <t>[Căn cứ file KH gửi 22/09] Sổ: bảng «Điện vệ sinh chung» có cột số người sử dụng. [GIẢ ĐỊNH bên PT – cần KH xác nhận] Điện chung phòng = (CS mới − CS cũ) × đơn giá × số người phòng ÷ tổng số người tòa.</t>
        </is>
      </c>
      <c r="I56" s="24" t="inlineStr">
        <is>
          <t>Bên PT (giả định)</t>
        </is>
      </c>
    </row>
    <row r="57">
      <c r="A57" s="22" t="inlineStr">
        <is>
          <t>F56</t>
        </is>
      </c>
      <c r="B57" s="22" t="inlineStr">
        <is>
          <t>Hóa đơn</t>
        </is>
      </c>
      <c r="C57" s="22" t="inlineStr">
        <is>
          <t>Phí phạt trễ hạn 200.000/ngày</t>
        </is>
      </c>
      <c r="D57" s="22" t="inlineStr">
        <is>
          <t>Có tự tính vào hóa đơn không; ai duyệt?</t>
        </is>
      </c>
      <c r="E57" s="22" t="inlineStr">
        <is>
          <t>Chưa có</t>
        </is>
      </c>
      <c r="F57" s="23" t="inlineStr">
        <is>
          <t>Chờ xác nhận</t>
        </is>
      </c>
      <c r="G57" s="24" t="inlineStr"/>
      <c r="H57" s="24" t="inlineStr">
        <is>
          <t>[GIẢ ĐỊNH bên PT – cần KH xác nhận] Phạt = 200.000 × số ngày quá hạn (sau 5 ngày kể từ hạn), hệ thống đề xuất, quản lý xác nhận/miễn, kế toán duyệt; ghi dòng «Phạt» trên hóa đơn kế tiếp.</t>
        </is>
      </c>
      <c r="I57" s="24" t="inlineStr">
        <is>
          <t>Bên PT (giả định)</t>
        </is>
      </c>
    </row>
  </sheetData>
  <autoFilter ref="A1:I57"/>
  <dataValidations count="1">
    <dataValidation sqref="G2:G57" showDropDown="0" showInputMessage="0" showErrorMessage="0" allowBlank="1" promptTitle="Xác nhận" prompt="Chọn: Đúng / Sai - xem cột trả lời / Cần trao đổi thêm" type="list">
      <formula1>"Đúng,Sai - xem cột trả lời,Cần trao đổi thêm"</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6" customWidth="1" min="1" max="1"/>
    <col width="70" customWidth="1" min="2" max="2"/>
    <col width="60" customWidth="1" min="3" max="3"/>
    <col width="16" customWidth="1" min="4" max="4"/>
    <col width="40" customWidth="1" min="5" max="5"/>
  </cols>
  <sheetData>
    <row r="1">
      <c r="A1" s="10" t="inlineStr">
        <is>
          <t>STT</t>
        </is>
      </c>
      <c r="B1" s="10" t="inlineStr">
        <is>
          <t>Tài liệu</t>
        </is>
      </c>
      <c r="C1" s="10" t="inlineStr">
        <is>
          <t>Dùng để làm rõ</t>
        </is>
      </c>
      <c r="D1" s="10" t="inlineStr">
        <is>
          <t>Tình trạng
(chọn)</t>
        </is>
      </c>
      <c r="E1" s="10" t="inlineStr">
        <is>
          <t>Ghi chú của công ty</t>
        </is>
      </c>
    </row>
    <row r="2">
      <c r="A2" s="22" t="n">
        <v>1</v>
      </c>
      <c r="B2" s="22" t="inlineStr">
        <is>
          <t>bảng lương tháng 6.xlsx (bản gốc còn công thức)</t>
        </is>
      </c>
      <c r="C2" s="22" t="inlineStr">
        <is>
          <t>Lấy công thức gốc: hiệu suất, mức lương/phòng, lương trưởng nhóm (F41–F45, F50–F52, Q29–Q38)</t>
        </is>
      </c>
      <c r="D2" s="24" t="inlineStr">
        <is>
          <t>Đã gửi</t>
        </is>
      </c>
      <c r="E2" s="24" t="inlineStr">
        <is>
          <t>Nhận file «bảng lương tháng 8.xlsx» (sheet THÁNG 1–8, còn công thức) ngày 22/09/2026.</t>
        </is>
      </c>
    </row>
    <row r="3">
      <c r="A3" s="22" t="n">
        <v>2</v>
      </c>
      <c r="B3" s="22" t="inlineStr">
        <is>
          <t>cập nhật thu tiền tháng 6 chuẩn.xlsx (sheet NHÀ T/S/G, PHÒNG MỚI, HOÀN CỌC, ĐIỆN NƯỚC PHÒNG TRỐNG, HĐ (VP)/(TECH))</t>
        </is>
      </c>
      <c r="C3" s="22" t="inlineStr">
        <is>
          <t>Xác nhận cách tính doanh thu, phòng mới, hoàn cọc, điện nước phòng trống (Q01–Q14, Q58)</t>
        </is>
      </c>
      <c r="D3" s="24" t="inlineStr">
        <is>
          <t>Đã gửi</t>
        </is>
      </c>
      <c r="E3" s="24" t="inlineStr">
        <is>
          <t>Nhận file «Hoá đơn tiền nhà tháng 9 và dịch vụ tháng 9 năm 2026.xlsx» (NHÀ T/S/G, PHÒNG MỚI, HOÀN CỌC, ĐIỆN NƯỚC PHÒNG TRỐNG, HĐ (VP)/(TECH), cập nhật thu tiền, DS phòng phá hđ).</t>
        </is>
      </c>
    </row>
    <row r="4">
      <c r="A4" s="22" t="n">
        <v>3</v>
      </c>
      <c r="B4" s="22" t="inlineStr">
        <is>
          <t>G1.31.8.26.xlsx (sheet ĐẦU TƯ BAN ĐẦU, THU CHI BAN ĐẦU) – và file tương tự của 1–2 tòa khác</t>
        </is>
      </c>
      <c r="C4" s="22" t="inlineStr">
        <is>
          <t>Xác nhận vốn góp, đầu tư ban đầu, chia lợi nhuận (Q49–Q54)</t>
        </is>
      </c>
      <c r="D4" s="24" t="inlineStr">
        <is>
          <t>Đã gửi</t>
        </is>
      </c>
      <c r="E4" s="24" t="inlineStr">
        <is>
          <t>Nhận «G1.31.8.26.xlsx» (ĐẦU TƯ BAN ĐẦU, THU CHI BAN ĐẦU, HĐ T1–T8, BÁO CÁO THÁNG 2–8). Chưa có file tòa khác.</t>
        </is>
      </c>
    </row>
    <row r="5">
      <c r="A5" s="22" t="n">
        <v>4</v>
      </c>
      <c r="B5" s="22" t="inlineStr">
        <is>
          <t>chi phí văn phòng tháng 6.xlsx</t>
        </is>
      </c>
      <c r="C5" s="22" t="inlineStr">
        <is>
          <t>Danh mục chi phí văn phòng / marketing và cách chia (Q19, Q28)</t>
        </is>
      </c>
      <c r="D5" s="24" t="inlineStr">
        <is>
          <t>Chưa gửi</t>
        </is>
      </c>
      <c r="E5" s="24" t="inlineStr">
        <is>
          <t>Chưa nhận file chi phí văn phòng; tạm dùng tổng số trong công thức G1 (VP 60.785.000; marketing 30.188.000 tháng 6).</t>
        </is>
      </c>
    </row>
    <row r="6">
      <c r="A6" s="22" t="n">
        <v>5</v>
      </c>
      <c r="B6" s="22" t="inlineStr">
        <is>
          <t>File gốc của «Báo cáo kinh doanh Tháng 8» (bản còn công thức)</t>
        </is>
      </c>
      <c r="C6" s="22" t="inlineStr">
        <is>
          <t>Đối chiếu cách cộng theo nhóm T/S/G và 2 tỷ lệ cuối (F29, F30)</t>
        </is>
      </c>
      <c r="D6" s="24" t="inlineStr">
        <is>
          <t>Đã gửi</t>
        </is>
      </c>
      <c r="E6" s="24" t="inlineStr">
        <is>
          <t>Nhận «BÁO CÁO KINH DOANH THÁNG 8.xlsx» (BC tổng, BC kinh doanh, BC DT theo tòa T/S/G tháng 1–8, còn công thức).</t>
        </is>
      </c>
    </row>
    <row r="7">
      <c r="A7" s="22" t="n">
        <v>6</v>
      </c>
      <c r="B7" s="22" t="inlineStr">
        <is>
          <t>Bảng bậc mức lương/phòng theo hiệu suất (văn bản / quyết định)</t>
        </is>
      </c>
      <c r="C7" s="22" t="inlineStr">
        <is>
          <t>Cấu hình quy tắc lương (Q30–Q32)</t>
        </is>
      </c>
      <c r="D7" s="24" t="inlineStr">
        <is>
          <t>Chưa gửi</t>
        </is>
      </c>
      <c r="E7" s="24" t="inlineStr">
        <is>
          <t>Chưa có văn bản; bên PT đề xuất bảng ngưỡng tại Q30/F52 để KH duyệt.</t>
        </is>
      </c>
    </row>
    <row r="8">
      <c r="A8" s="22" t="n">
        <v>7</v>
      </c>
      <c r="B8" s="22" t="inlineStr">
        <is>
          <t>Chính sách hoa hồng bằng văn bản (nếu có)</t>
        </is>
      </c>
      <c r="C8" s="22" t="inlineStr">
        <is>
          <t>Cấu hình hoa hồng (Q40–Q48)</t>
        </is>
      </c>
      <c r="D8" s="24" t="inlineStr">
        <is>
          <t>Chưa gửi</t>
        </is>
      </c>
      <c r="E8" s="24" t="inlineStr">
        <is>
          <t>Chưa có văn bản; bên PT đề xuất tại Q40–Q44.</t>
        </is>
      </c>
    </row>
    <row r="9">
      <c r="A9" s="22" t="n">
        <v>8</v>
      </c>
      <c r="B9" s="22" t="inlineStr">
        <is>
          <t>Danh sách tòa: mã, nhóm T/S/G, chủ nhà, tiền thuê/tháng, ngày bắt đầu, số phòng</t>
        </is>
      </c>
      <c r="C9" s="22" t="inlineStr">
        <is>
          <t>Khởi tạo dữ liệu tòa (Q63, Q64)</t>
        </is>
      </c>
      <c r="D9" s="24" t="inlineStr">
        <is>
          <t>Chưa gửi</t>
        </is>
      </c>
      <c r="E9" s="24" t="inlineStr">
        <is>
          <t>Có thể trích từ sheet BC DT NHÀ T/S/G (mã tòa, loại L1/L2/L3) và sổ tháng 9 (số phòng, quản lý); còn thiếu chủ nhà, tiền thuê, ngày bắt đầu.</t>
        </is>
      </c>
    </row>
    <row r="10">
      <c r="A10" s="22" t="n">
        <v>9</v>
      </c>
      <c r="B10" s="22" t="inlineStr">
        <is>
          <t>Danh sách đơn giá dịch vụ theo từng tòa (tòa nào khác mặc định)</t>
        </is>
      </c>
      <c r="C10" s="22" t="inlineStr">
        <is>
          <t>Cấu hình bảng giá (Q57)</t>
        </is>
      </c>
      <c r="D10" s="24" t="inlineStr">
        <is>
          <t>Chưa gửi</t>
        </is>
      </c>
      <c r="E10" s="24" t="inlineStr">
        <is>
          <t>Đã nhận «Danh sách mã HĐ điện nước mạng.xlsx» (mã hợp đồng nhà cung cấp) – chưa phải bảng đơn giá bán dịch vụ theo tòa.</t>
        </is>
      </c>
    </row>
    <row r="11">
      <c r="A11" s="22" t="n">
        <v>10</v>
      </c>
      <c r="B11" s="22" t="inlineStr">
        <is>
          <t>Danh sách cổ đông &amp; tỷ lệ theo từng tòa</t>
        </is>
      </c>
      <c r="C11" s="22" t="inlineStr">
        <is>
          <t>Khởi tạo module cổ đông (Q49)</t>
        </is>
      </c>
      <c r="D11" s="24" t="inlineStr">
        <is>
          <t>Chưa gửi</t>
        </is>
      </c>
      <c r="E11" s="24" t="inlineStr">
        <is>
          <t>Mới có G1 (bảng cổ phần + THU CHI BAN ĐẦU); cần các tòa còn lại.</t>
        </is>
      </c>
    </row>
    <row r="12">
      <c r="A12" s="22" t="n">
        <v>11</v>
      </c>
      <c r="B12" s="22" t="inlineStr">
        <is>
          <t>Sơ đồ tổ chức + danh sách nhân viên + tòa phụ trách hiện tại</t>
        </is>
      </c>
      <c r="C12" s="22" t="inlineStr">
        <is>
          <t>Khởi tạo phân công (Q60)</t>
        </is>
      </c>
      <c r="D12" s="24" t="inlineStr">
        <is>
          <t>Chưa gửi</t>
        </is>
      </c>
      <c r="E12" s="24" t="inlineStr">
        <is>
          <t>Trích được từ bảng lương tháng 8 (TPVH, TNVH, 12 NVVH + tòa phụ trách); thiếu phòng KD, KT, thị trường, TC-KT.</t>
        </is>
      </c>
    </row>
  </sheetData>
  <autoFilter ref="A1:E12"/>
  <dataValidations count="1">
    <dataValidation sqref="D2:D12" showDropDown="0" showInputMessage="0" showErrorMessage="0" allowBlank="1" type="list">
      <formula1>"Đã gửi,Chưa gửi,Không có"</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2026-09-22T04:45:08Z</dcterms:created>
  <dcterms:modified xsi:type="dcterms:W3CDTF">2026-09-22T07:55:37Z</dcterms:modified>
</cp:coreProperties>
</file>